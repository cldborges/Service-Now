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G:\Meu Drive\Python\Projetos\Service Now\"/>
    </mc:Choice>
  </mc:AlternateContent>
  <xr:revisionPtr revIDLastSave="0" documentId="8_{D874C9EF-D411-4960-BA27-BDCB8D966BC9}" xr6:coauthVersionLast="47" xr6:coauthVersionMax="47" xr10:uidLastSave="{00000000-0000-0000-0000-000000000000}"/>
  <bookViews>
    <workbookView xWindow="-28920" yWindow="0" windowWidth="29040" windowHeight="15840" xr2:uid="{84840B06-5549-4E41-93B0-287DC1082990}"/>
  </bookViews>
  <sheets>
    <sheet name="Abertura" sheetId="11" r:id="rId1"/>
    <sheet name="Fechamento" sheetId="13" r:id="rId2"/>
    <sheet name="Produtividade" sheetId="16" r:id="rId3"/>
    <sheet name="Data Points padrão" sheetId="15" r:id="rId4"/>
    <sheet name="Codigos Categorias" sheetId="12" r:id="rId5"/>
    <sheet name="Pausa de tickets" sheetId="14" r:id="rId6"/>
  </sheet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6" l="1"/>
  <c r="B2" i="16" s="1"/>
  <c r="F2" i="16"/>
  <c r="A3" i="16"/>
  <c r="B3" i="16" s="1"/>
  <c r="F3" i="16"/>
  <c r="F4" i="16"/>
  <c r="F5" i="16"/>
  <c r="E171" i="11" a="1"/>
  <c r="E171" i="11" s="1"/>
  <c r="G171" i="11" a="1"/>
  <c r="G171" i="11" s="1"/>
  <c r="I171" i="11" a="1"/>
  <c r="I171" i="11" s="1"/>
  <c r="M171" i="11" a="1"/>
  <c r="M171" i="11" s="1"/>
  <c r="F6" i="16"/>
  <c r="E170" i="11" a="1"/>
  <c r="E170" i="11" s="1"/>
  <c r="G170" i="11" a="1"/>
  <c r="G170" i="11" s="1"/>
  <c r="I170" i="11" a="1"/>
  <c r="I170" i="11" s="1"/>
  <c r="M170" i="11" a="1"/>
  <c r="M170" i="11" s="1"/>
  <c r="E169" i="11" a="1"/>
  <c r="E169" i="11" s="1"/>
  <c r="G169" i="11" a="1"/>
  <c r="G169" i="11" s="1"/>
  <c r="I169" i="11" a="1"/>
  <c r="I169" i="11" s="1"/>
  <c r="M169" i="11" a="1"/>
  <c r="M169" i="11" s="1"/>
  <c r="E168" i="11" a="1"/>
  <c r="E168" i="11" s="1"/>
  <c r="G168" i="11" a="1"/>
  <c r="G168" i="11" s="1"/>
  <c r="I168" i="11" a="1"/>
  <c r="I168" i="11" s="1"/>
  <c r="M168" i="11" a="1"/>
  <c r="M168" i="11" s="1"/>
  <c r="E167" i="11" a="1"/>
  <c r="E167" i="11" s="1"/>
  <c r="G167" i="11" a="1"/>
  <c r="G167" i="11" s="1"/>
  <c r="I167" i="11" a="1"/>
  <c r="I167" i="11" s="1"/>
  <c r="M167" i="11" a="1"/>
  <c r="M167" i="11" s="1"/>
  <c r="F7" i="16"/>
  <c r="E166" i="11" a="1"/>
  <c r="E166" i="11" s="1"/>
  <c r="G166" i="11" a="1"/>
  <c r="G166" i="11" s="1"/>
  <c r="I166" i="11" a="1"/>
  <c r="I166" i="11" s="1"/>
  <c r="M166" i="11" a="1"/>
  <c r="M166" i="11" s="1"/>
  <c r="E165" i="11" a="1"/>
  <c r="E165" i="11" s="1"/>
  <c r="G165" i="11" a="1"/>
  <c r="G165" i="11" s="1"/>
  <c r="I165" i="11" a="1"/>
  <c r="I165" i="11" s="1"/>
  <c r="M165" i="11" a="1"/>
  <c r="M165" i="11" s="1"/>
  <c r="E164" i="11" a="1"/>
  <c r="E164" i="11" s="1"/>
  <c r="G164" i="11" a="1"/>
  <c r="G164" i="11" s="1"/>
  <c r="I164" i="11" a="1"/>
  <c r="I164" i="11" s="1"/>
  <c r="M164" i="11" a="1"/>
  <c r="M164" i="11" s="1"/>
  <c r="E163" i="11" a="1"/>
  <c r="E163" i="11" s="1"/>
  <c r="G163" i="11" a="1"/>
  <c r="G163" i="11" s="1"/>
  <c r="I163" i="11" a="1"/>
  <c r="I163" i="11" s="1"/>
  <c r="M163" i="11" a="1"/>
  <c r="M163" i="11" s="1"/>
  <c r="E162" i="11" a="1"/>
  <c r="E162" i="11" s="1"/>
  <c r="G162" i="11" a="1"/>
  <c r="G162" i="11" s="1"/>
  <c r="I162" i="11" a="1"/>
  <c r="I162" i="11" s="1"/>
  <c r="M162" i="11" a="1"/>
  <c r="M162" i="11" s="1"/>
  <c r="E161" i="11" a="1"/>
  <c r="E161" i="11" s="1"/>
  <c r="G161" i="11" a="1"/>
  <c r="G161" i="11" s="1"/>
  <c r="I161" i="11" a="1"/>
  <c r="I161" i="11" s="1"/>
  <c r="M161" i="11" a="1"/>
  <c r="M161" i="11" s="1"/>
  <c r="E160" i="11" a="1"/>
  <c r="E160" i="11" s="1"/>
  <c r="G160" i="11" a="1"/>
  <c r="G160" i="11" s="1"/>
  <c r="I160" i="11" a="1"/>
  <c r="I160" i="11" s="1"/>
  <c r="M160" i="11" a="1"/>
  <c r="M160" i="11" s="1"/>
  <c r="E159" i="11" a="1"/>
  <c r="E159" i="11" s="1"/>
  <c r="G159" i="11" a="1"/>
  <c r="G159" i="11" s="1"/>
  <c r="I159" i="11" a="1"/>
  <c r="I159" i="11" s="1"/>
  <c r="M159" i="11" a="1"/>
  <c r="M159" i="11" s="1"/>
  <c r="E158" i="11" a="1"/>
  <c r="E158" i="11" s="1"/>
  <c r="G158" i="11" a="1"/>
  <c r="G158" i="11" s="1"/>
  <c r="I158" i="11" a="1"/>
  <c r="I158" i="11" s="1"/>
  <c r="M158" i="11" a="1"/>
  <c r="M158" i="11" s="1"/>
  <c r="E157" i="11" a="1"/>
  <c r="E157" i="11" s="1"/>
  <c r="G157" i="11" a="1"/>
  <c r="G157" i="11" s="1"/>
  <c r="I157" i="11" a="1"/>
  <c r="I157" i="11" s="1"/>
  <c r="M157" i="11" a="1"/>
  <c r="M157" i="11" s="1"/>
  <c r="F8" i="16"/>
  <c r="E156" i="11" a="1"/>
  <c r="E156" i="11" s="1"/>
  <c r="G156" i="11" a="1"/>
  <c r="G156" i="11" s="1"/>
  <c r="I156" i="11" a="1"/>
  <c r="I156" i="11" s="1"/>
  <c r="M156" i="11" a="1"/>
  <c r="M156" i="11" s="1"/>
  <c r="E155" i="11" a="1"/>
  <c r="E155" i="11" s="1"/>
  <c r="G155" i="11" a="1"/>
  <c r="G155" i="11" s="1"/>
  <c r="I155" i="11" a="1"/>
  <c r="I155" i="11" s="1"/>
  <c r="M155" i="11" a="1"/>
  <c r="M155" i="11" s="1"/>
  <c r="E154" i="11" a="1"/>
  <c r="E154" i="11" s="1"/>
  <c r="G154" i="11" a="1"/>
  <c r="G154" i="11" s="1"/>
  <c r="I154" i="11" a="1"/>
  <c r="I154" i="11" s="1"/>
  <c r="M154" i="11" a="1"/>
  <c r="M154" i="11" s="1"/>
  <c r="E153" i="11" a="1"/>
  <c r="E153" i="11" s="1"/>
  <c r="G153" i="11" a="1"/>
  <c r="G153" i="11" s="1"/>
  <c r="I153" i="11" a="1"/>
  <c r="I153" i="11" s="1"/>
  <c r="M153" i="11" a="1"/>
  <c r="M153" i="11" s="1"/>
  <c r="E152" i="11" a="1"/>
  <c r="E152" i="11" s="1"/>
  <c r="G152" i="11" a="1"/>
  <c r="G152" i="11" s="1"/>
  <c r="I152" i="11" a="1"/>
  <c r="I152" i="11" s="1"/>
  <c r="M152" i="11" a="1"/>
  <c r="M152" i="11" s="1"/>
  <c r="F9" i="16"/>
  <c r="E151" i="11" a="1"/>
  <c r="E151" i="11" s="1"/>
  <c r="G151" i="11" a="1"/>
  <c r="G151" i="11" s="1"/>
  <c r="I151" i="11" a="1"/>
  <c r="I151" i="11" s="1"/>
  <c r="M151" i="11" a="1"/>
  <c r="M151" i="11" s="1"/>
  <c r="E150" i="11" a="1"/>
  <c r="E150" i="11" s="1"/>
  <c r="G150" i="11" a="1"/>
  <c r="G150" i="11" s="1"/>
  <c r="I150" i="11" a="1"/>
  <c r="I150" i="11" s="1"/>
  <c r="M150" i="11" a="1"/>
  <c r="M150" i="11" s="1"/>
  <c r="E149" i="11" a="1"/>
  <c r="E149" i="11" s="1"/>
  <c r="G149" i="11" a="1"/>
  <c r="G149" i="11" s="1"/>
  <c r="I149" i="11" a="1"/>
  <c r="I149" i="11" s="1"/>
  <c r="M149" i="11" a="1"/>
  <c r="M149" i="11" s="1"/>
  <c r="E148" i="11" a="1"/>
  <c r="E148" i="11" s="1"/>
  <c r="G148" i="11" a="1"/>
  <c r="G148" i="11" s="1"/>
  <c r="I148" i="11" a="1"/>
  <c r="I148" i="11" s="1"/>
  <c r="M148" i="11" a="1"/>
  <c r="M148" i="11" s="1"/>
  <c r="E147" i="11" a="1"/>
  <c r="E147" i="11" s="1"/>
  <c r="G147" i="11" a="1"/>
  <c r="G147" i="11" s="1"/>
  <c r="I147" i="11" a="1"/>
  <c r="I147" i="11" s="1"/>
  <c r="M147" i="11" a="1"/>
  <c r="M147" i="11" s="1"/>
  <c r="E146" i="11" a="1"/>
  <c r="E146" i="11" s="1"/>
  <c r="G146" i="11" a="1"/>
  <c r="G146" i="11" s="1"/>
  <c r="I146" i="11" a="1"/>
  <c r="I146" i="11" s="1"/>
  <c r="M146" i="11" a="1"/>
  <c r="M146" i="11" s="1"/>
  <c r="F10" i="16"/>
  <c r="E145" i="11" a="1"/>
  <c r="E145" i="11" s="1"/>
  <c r="G145" i="11" a="1"/>
  <c r="G145" i="11" s="1"/>
  <c r="I145" i="11" a="1"/>
  <c r="I145" i="11" s="1"/>
  <c r="M145" i="11" a="1"/>
  <c r="M145" i="11" s="1"/>
  <c r="E144" i="11" a="1"/>
  <c r="E144" i="11" s="1"/>
  <c r="G144" i="11" a="1"/>
  <c r="G144" i="11" s="1"/>
  <c r="I144" i="11" a="1"/>
  <c r="I144" i="11" s="1"/>
  <c r="M144" i="11" a="1"/>
  <c r="M144" i="11" s="1"/>
  <c r="E143" i="11" a="1"/>
  <c r="E143" i="11" s="1"/>
  <c r="G143" i="11" a="1"/>
  <c r="G143" i="11" s="1"/>
  <c r="I143" i="11" a="1"/>
  <c r="I143" i="11" s="1"/>
  <c r="M143" i="11" a="1"/>
  <c r="M143" i="11" s="1"/>
  <c r="F11" i="16"/>
  <c r="E142" i="11" a="1"/>
  <c r="E142" i="11" s="1"/>
  <c r="G142" i="11" a="1"/>
  <c r="G142" i="11" s="1"/>
  <c r="I142" i="11" a="1"/>
  <c r="I142" i="11" s="1"/>
  <c r="M142" i="11" a="1"/>
  <c r="M142" i="11" s="1"/>
  <c r="E141" i="11" a="1"/>
  <c r="E141" i="11" s="1"/>
  <c r="G141" i="11" a="1"/>
  <c r="G141" i="11" s="1"/>
  <c r="I141" i="11" a="1"/>
  <c r="I141" i="11" s="1"/>
  <c r="M141" i="11" a="1"/>
  <c r="M141" i="11" s="1"/>
  <c r="F12" i="16"/>
  <c r="E140" i="11" a="1"/>
  <c r="E140" i="11" s="1"/>
  <c r="G140" i="11" a="1"/>
  <c r="G140" i="11" s="1"/>
  <c r="I140" i="11" a="1"/>
  <c r="I140" i="11" s="1"/>
  <c r="M140" i="11" a="1"/>
  <c r="M140" i="11" s="1"/>
  <c r="E139" i="11" a="1"/>
  <c r="E139" i="11" s="1"/>
  <c r="G139" i="11" a="1"/>
  <c r="G139" i="11" s="1"/>
  <c r="I139" i="11" a="1"/>
  <c r="I139" i="11" s="1"/>
  <c r="M139" i="11" a="1"/>
  <c r="M139" i="11" s="1"/>
  <c r="E138" i="11" a="1"/>
  <c r="E138" i="11" s="1"/>
  <c r="G138" i="11" a="1"/>
  <c r="G138" i="11" s="1"/>
  <c r="I138" i="11" a="1"/>
  <c r="I138" i="11" s="1"/>
  <c r="M138" i="11" a="1"/>
  <c r="M138" i="11" s="1"/>
  <c r="A13" i="16"/>
  <c r="F13" i="16"/>
  <c r="E137" i="11" a="1"/>
  <c r="E137" i="11" s="1"/>
  <c r="G137" i="11" a="1"/>
  <c r="G137" i="11" s="1"/>
  <c r="I137" i="11" a="1"/>
  <c r="I137" i="11" s="1"/>
  <c r="M137" i="11" a="1"/>
  <c r="M137" i="11" s="1"/>
  <c r="E136" i="11" a="1"/>
  <c r="E136" i="11" s="1"/>
  <c r="G136" i="11" a="1"/>
  <c r="G136" i="11" s="1"/>
  <c r="I136" i="11" a="1"/>
  <c r="I136" i="11" s="1"/>
  <c r="M136" i="11" a="1"/>
  <c r="M136" i="11" s="1"/>
  <c r="E135" i="11" a="1"/>
  <c r="E135" i="11" s="1"/>
  <c r="G135" i="11" a="1"/>
  <c r="G135" i="11" s="1"/>
  <c r="I135" i="11" a="1"/>
  <c r="I135" i="11" s="1"/>
  <c r="M135" i="11" a="1"/>
  <c r="M135" i="11" s="1"/>
  <c r="E134" i="11" a="1"/>
  <c r="E134" i="11" s="1"/>
  <c r="G134" i="11" a="1"/>
  <c r="G134" i="11" s="1"/>
  <c r="I134" i="11" a="1"/>
  <c r="I134" i="11" s="1"/>
  <c r="M134" i="11" a="1"/>
  <c r="M134" i="11" s="1"/>
  <c r="B14" i="16"/>
  <c r="F14" i="16"/>
  <c r="F15" i="16"/>
  <c r="E133" i="11" a="1"/>
  <c r="E133" i="11" s="1"/>
  <c r="G133" i="11" a="1"/>
  <c r="G133" i="11" s="1"/>
  <c r="I133" i="11" a="1"/>
  <c r="I133" i="11" s="1"/>
  <c r="M133" i="11" a="1"/>
  <c r="M133" i="11" s="1"/>
  <c r="E132" i="11" a="1"/>
  <c r="E132" i="11" s="1"/>
  <c r="G132" i="11" a="1"/>
  <c r="G132" i="11" s="1"/>
  <c r="I132" i="11" a="1"/>
  <c r="I132" i="11" s="1"/>
  <c r="M132" i="11" a="1"/>
  <c r="M132" i="11" s="1"/>
  <c r="E131" i="11" a="1"/>
  <c r="E131" i="11" s="1"/>
  <c r="G131" i="11" a="1"/>
  <c r="G131" i="11" s="1"/>
  <c r="I131" i="11" a="1"/>
  <c r="I131" i="11" s="1"/>
  <c r="M131" i="11" a="1"/>
  <c r="M131" i="11" s="1"/>
  <c r="E130" i="11" a="1"/>
  <c r="E130" i="11" s="1"/>
  <c r="G130" i="11" a="1"/>
  <c r="G130" i="11" s="1"/>
  <c r="I130" i="11" a="1"/>
  <c r="I130" i="11" s="1"/>
  <c r="M130" i="11" a="1"/>
  <c r="M130" i="11" s="1"/>
  <c r="E129" i="11" a="1"/>
  <c r="E129" i="11" s="1"/>
  <c r="G129" i="11" a="1"/>
  <c r="G129" i="11" s="1"/>
  <c r="I129" i="11" a="1"/>
  <c r="I129" i="11" s="1"/>
  <c r="M129" i="11" a="1"/>
  <c r="M129" i="11" s="1"/>
  <c r="B15" i="16"/>
  <c r="F16" i="16"/>
  <c r="E128" i="11" a="1"/>
  <c r="E128" i="11" s="1"/>
  <c r="G128" i="11" a="1"/>
  <c r="G128" i="11" s="1"/>
  <c r="I128" i="11" a="1"/>
  <c r="I128" i="11" s="1"/>
  <c r="M128" i="11" a="1"/>
  <c r="M128" i="11" s="1"/>
  <c r="E127" i="11" a="1"/>
  <c r="E127" i="11" s="1"/>
  <c r="G127" i="11" a="1"/>
  <c r="G127" i="11" s="1"/>
  <c r="I127" i="11" a="1"/>
  <c r="I127" i="11" s="1"/>
  <c r="M127" i="11" a="1"/>
  <c r="M127" i="11" s="1"/>
  <c r="E126" i="11" a="1"/>
  <c r="E126" i="11" s="1"/>
  <c r="G126" i="11" a="1"/>
  <c r="G126" i="11" s="1"/>
  <c r="I126" i="11" a="1"/>
  <c r="I126" i="11" s="1"/>
  <c r="M126" i="11" a="1"/>
  <c r="M126" i="11" s="1"/>
  <c r="E125" i="11" a="1"/>
  <c r="E125" i="11" s="1"/>
  <c r="G125" i="11" a="1"/>
  <c r="G125" i="11" s="1"/>
  <c r="I125" i="11" a="1"/>
  <c r="I125" i="11" s="1"/>
  <c r="M125" i="11" a="1"/>
  <c r="M125" i="11" s="1"/>
  <c r="E124" i="11" a="1"/>
  <c r="E124" i="11" s="1"/>
  <c r="G124" i="11" a="1"/>
  <c r="G124" i="11" s="1"/>
  <c r="I124" i="11" a="1"/>
  <c r="I124" i="11" s="1"/>
  <c r="M124" i="11" a="1"/>
  <c r="M124" i="11" s="1"/>
  <c r="B16" i="16"/>
  <c r="E123" i="11" a="1"/>
  <c r="E123" i="11" s="1"/>
  <c r="G123" i="11" a="1"/>
  <c r="G123" i="11" s="1"/>
  <c r="I123" i="11" a="1"/>
  <c r="I123" i="11" s="1"/>
  <c r="M123" i="11" a="1"/>
  <c r="M123" i="11" s="1"/>
  <c r="E122" i="11" a="1"/>
  <c r="E122" i="11" s="1"/>
  <c r="G122" i="11" a="1"/>
  <c r="G122" i="11" s="1"/>
  <c r="I122" i="11" a="1"/>
  <c r="I122" i="11" s="1"/>
  <c r="M122" i="11" a="1"/>
  <c r="M122" i="11" s="1"/>
  <c r="E121" i="11" a="1"/>
  <c r="E121" i="11" s="1"/>
  <c r="G121" i="11" a="1"/>
  <c r="G121" i="11" s="1"/>
  <c r="I121" i="11" a="1"/>
  <c r="I121" i="11" s="1"/>
  <c r="M121" i="11" a="1"/>
  <c r="M121" i="11" s="1"/>
  <c r="E120" i="11" a="1"/>
  <c r="E120" i="11" s="1"/>
  <c r="G120" i="11" a="1"/>
  <c r="G120" i="11" s="1"/>
  <c r="I120" i="11" a="1"/>
  <c r="I120" i="11" s="1"/>
  <c r="M120" i="11" a="1"/>
  <c r="M120" i="11" s="1"/>
  <c r="E119" i="11" a="1"/>
  <c r="E119" i="11" s="1"/>
  <c r="G119" i="11" a="1"/>
  <c r="G119" i="11" s="1"/>
  <c r="I119" i="11" a="1"/>
  <c r="I119" i="11" s="1"/>
  <c r="M119" i="11" a="1"/>
  <c r="M119" i="11" s="1"/>
  <c r="E118" i="11" a="1"/>
  <c r="E118" i="11" s="1"/>
  <c r="G118" i="11" a="1"/>
  <c r="G118" i="11" s="1"/>
  <c r="I118" i="11" a="1"/>
  <c r="I118" i="11" s="1"/>
  <c r="M118" i="11" a="1"/>
  <c r="M118" i="11" s="1"/>
  <c r="E117" i="11" a="1"/>
  <c r="E117" i="11" s="1"/>
  <c r="G117" i="11" a="1"/>
  <c r="G117" i="11" s="1"/>
  <c r="I117" i="11" a="1"/>
  <c r="I117" i="11" s="1"/>
  <c r="M117" i="11" a="1"/>
  <c r="M117" i="11" s="1"/>
  <c r="E116" i="11" a="1"/>
  <c r="E116" i="11" s="1"/>
  <c r="G116" i="11" a="1"/>
  <c r="G116" i="11" s="1"/>
  <c r="I116" i="11" a="1"/>
  <c r="I116" i="11" s="1"/>
  <c r="M116" i="11" a="1"/>
  <c r="M116" i="11" s="1"/>
  <c r="E115" i="11" a="1"/>
  <c r="E115" i="11" s="1"/>
  <c r="G115" i="11" a="1"/>
  <c r="G115" i="11" s="1"/>
  <c r="I115" i="11" a="1"/>
  <c r="I115" i="11" s="1"/>
  <c r="M115" i="11" a="1"/>
  <c r="M115" i="11" s="1"/>
  <c r="E114" i="11" a="1"/>
  <c r="E114" i="11" s="1"/>
  <c r="G114" i="11" a="1"/>
  <c r="G114" i="11" s="1"/>
  <c r="I114" i="11" a="1"/>
  <c r="I114" i="11" s="1"/>
  <c r="M114" i="11" a="1"/>
  <c r="M114" i="11" s="1"/>
  <c r="E113" i="11" a="1"/>
  <c r="E113" i="11" s="1"/>
  <c r="G113" i="11" a="1"/>
  <c r="G113" i="11" s="1"/>
  <c r="I113" i="11" a="1"/>
  <c r="I113" i="11" s="1"/>
  <c r="M113" i="11" a="1"/>
  <c r="M113" i="11" s="1"/>
  <c r="E112" i="11" a="1"/>
  <c r="E112" i="11" s="1"/>
  <c r="G112" i="11" a="1"/>
  <c r="G112" i="11" s="1"/>
  <c r="I112" i="11" a="1"/>
  <c r="I112" i="11" s="1"/>
  <c r="M112" i="11" a="1"/>
  <c r="M112" i="11" s="1"/>
  <c r="E111" i="11" a="1"/>
  <c r="E111" i="11" s="1"/>
  <c r="G111" i="11" a="1"/>
  <c r="G111" i="11" s="1"/>
  <c r="I111" i="11" a="1"/>
  <c r="I111" i="11" s="1"/>
  <c r="M111" i="11" a="1"/>
  <c r="M111" i="11" s="1"/>
  <c r="E110" i="11" a="1"/>
  <c r="E110" i="11" s="1"/>
  <c r="G110" i="11" a="1"/>
  <c r="G110" i="11" s="1"/>
  <c r="I110" i="11" a="1"/>
  <c r="I110" i="11" s="1"/>
  <c r="M110" i="11" a="1"/>
  <c r="M110" i="11" s="1"/>
  <c r="E109" i="11" a="1"/>
  <c r="E109" i="11" s="1"/>
  <c r="G109" i="11" a="1"/>
  <c r="G109" i="11" s="1"/>
  <c r="I109" i="11" a="1"/>
  <c r="I109" i="11" s="1"/>
  <c r="M109" i="11" a="1"/>
  <c r="M109" i="11" s="1"/>
  <c r="E108" i="11" a="1"/>
  <c r="E108" i="11" s="1"/>
  <c r="G108" i="11" a="1"/>
  <c r="G108" i="11" s="1"/>
  <c r="I108" i="11" a="1"/>
  <c r="I108" i="11" s="1"/>
  <c r="M108" i="11" a="1"/>
  <c r="M108" i="11" s="1"/>
  <c r="E107" i="11" a="1"/>
  <c r="E107" i="11" s="1"/>
  <c r="G107" i="11" a="1"/>
  <c r="G107" i="11" s="1"/>
  <c r="I107" i="11" a="1"/>
  <c r="I107" i="11" s="1"/>
  <c r="M107" i="11" a="1"/>
  <c r="M107" i="11" s="1"/>
  <c r="M106" i="11" a="1"/>
  <c r="M106" i="11" s="1"/>
  <c r="E106" i="11" a="1"/>
  <c r="E106" i="11" s="1"/>
  <c r="G106" i="11" a="1"/>
  <c r="G106" i="11" s="1"/>
  <c r="I106" i="11" a="1"/>
  <c r="I106" i="11" s="1"/>
  <c r="M2" i="11" a="1"/>
  <c r="M2" i="11" s="1"/>
  <c r="M3" i="11" a="1"/>
  <c r="M3" i="11" s="1"/>
  <c r="M4" i="11" a="1"/>
  <c r="M4" i="11" s="1"/>
  <c r="M5" i="11" a="1"/>
  <c r="M5" i="11" s="1"/>
  <c r="M6" i="11" a="1"/>
  <c r="M6" i="11" s="1"/>
  <c r="M7" i="11" a="1"/>
  <c r="M7" i="11" s="1"/>
  <c r="M8" i="11" a="1"/>
  <c r="M8" i="11" s="1"/>
  <c r="M9" i="11" a="1"/>
  <c r="M9" i="11" s="1"/>
  <c r="M10" i="11" a="1"/>
  <c r="M10" i="11" s="1"/>
  <c r="M11" i="11" a="1"/>
  <c r="M11" i="11" s="1"/>
  <c r="M12" i="11" a="1"/>
  <c r="M12" i="11" s="1"/>
  <c r="M13" i="11" a="1"/>
  <c r="M13" i="11" s="1"/>
  <c r="M14" i="11" a="1"/>
  <c r="M14" i="11" s="1"/>
  <c r="M15" i="11" a="1"/>
  <c r="M15" i="11" s="1"/>
  <c r="M16" i="11" a="1"/>
  <c r="M16" i="11" s="1"/>
  <c r="M17" i="11" a="1"/>
  <c r="M17" i="11" s="1"/>
  <c r="M18" i="11" a="1"/>
  <c r="M18" i="11" s="1"/>
  <c r="M19" i="11" a="1"/>
  <c r="M19" i="11" s="1"/>
  <c r="M20" i="11" a="1"/>
  <c r="M20" i="11" s="1"/>
  <c r="M21" i="11" a="1"/>
  <c r="M21" i="11" s="1"/>
  <c r="M22" i="11" a="1"/>
  <c r="M22" i="11" s="1"/>
  <c r="M23" i="11" a="1"/>
  <c r="M23" i="11" s="1"/>
  <c r="M24" i="11" a="1"/>
  <c r="M24" i="11" s="1"/>
  <c r="M25" i="11" a="1"/>
  <c r="M25" i="11" s="1"/>
  <c r="M26" i="11" a="1"/>
  <c r="M26" i="11" s="1"/>
  <c r="M27" i="11" a="1"/>
  <c r="M27" i="11" s="1"/>
  <c r="M28" i="11" a="1"/>
  <c r="M28" i="11" s="1"/>
  <c r="M29" i="11" a="1"/>
  <c r="M29" i="11" s="1"/>
  <c r="M30" i="11" a="1"/>
  <c r="M30" i="11" s="1"/>
  <c r="M31" i="11" a="1"/>
  <c r="M31" i="11" s="1"/>
  <c r="M32" i="11" a="1"/>
  <c r="M32" i="11" s="1"/>
  <c r="M33" i="11" a="1"/>
  <c r="M33" i="11" s="1"/>
  <c r="M34" i="11" a="1"/>
  <c r="M34" i="11" s="1"/>
  <c r="M35" i="11" a="1"/>
  <c r="M35" i="11" s="1"/>
  <c r="M36" i="11" a="1"/>
  <c r="M36" i="11" s="1"/>
  <c r="M37" i="11" a="1"/>
  <c r="M37" i="11" s="1"/>
  <c r="M38" i="11" a="1"/>
  <c r="M38" i="11" s="1"/>
  <c r="M39" i="11" a="1"/>
  <c r="M39" i="11" s="1"/>
  <c r="M40" i="11" a="1"/>
  <c r="M40" i="11" s="1"/>
  <c r="M41" i="11" a="1"/>
  <c r="M41" i="11" s="1"/>
  <c r="M42" i="11" a="1"/>
  <c r="M42" i="11" s="1"/>
  <c r="M43" i="11" a="1"/>
  <c r="M43" i="11" s="1"/>
  <c r="M44" i="11" a="1"/>
  <c r="M44" i="11" s="1"/>
  <c r="M45" i="11" a="1"/>
  <c r="M45" i="11" s="1"/>
  <c r="M46" i="11" a="1"/>
  <c r="M46" i="11" s="1"/>
  <c r="M47" i="11" a="1"/>
  <c r="M47" i="11" s="1"/>
  <c r="M48" i="11" a="1"/>
  <c r="M48" i="11" s="1"/>
  <c r="M49" i="11" a="1"/>
  <c r="M49" i="11" s="1"/>
  <c r="M50" i="11" a="1"/>
  <c r="M50" i="11" s="1"/>
  <c r="M51" i="11" a="1"/>
  <c r="M51" i="11" s="1"/>
  <c r="M52" i="11" a="1"/>
  <c r="M52" i="11" s="1"/>
  <c r="M53" i="11" a="1"/>
  <c r="M53" i="11" s="1"/>
  <c r="M54" i="11" a="1"/>
  <c r="M54" i="11" s="1"/>
  <c r="M55" i="11" a="1"/>
  <c r="M55" i="11" s="1"/>
  <c r="M56" i="11" a="1"/>
  <c r="M56" i="11" s="1"/>
  <c r="M57" i="11" a="1"/>
  <c r="M57" i="11" s="1"/>
  <c r="M58" i="11" a="1"/>
  <c r="M58" i="11" s="1"/>
  <c r="M59" i="11" a="1"/>
  <c r="M59" i="11" s="1"/>
  <c r="M60" i="11" a="1"/>
  <c r="M60" i="11" s="1"/>
  <c r="M61" i="11" a="1"/>
  <c r="M61" i="11" s="1"/>
  <c r="M62" i="11" a="1"/>
  <c r="M62" i="11" s="1"/>
  <c r="M63" i="11" a="1"/>
  <c r="M63" i="11" s="1"/>
  <c r="M64" i="11" a="1"/>
  <c r="M64" i="11" s="1"/>
  <c r="M65" i="11" a="1"/>
  <c r="M65" i="11" s="1"/>
  <c r="M66" i="11" a="1"/>
  <c r="M66" i="11" s="1"/>
  <c r="M67" i="11" a="1"/>
  <c r="M67" i="11" s="1"/>
  <c r="M68" i="11" a="1"/>
  <c r="M68" i="11" s="1"/>
  <c r="M69" i="11" a="1"/>
  <c r="M69" i="11" s="1"/>
  <c r="M70" i="11" a="1"/>
  <c r="M70" i="11" s="1"/>
  <c r="M71" i="11" a="1"/>
  <c r="M71" i="11" s="1"/>
  <c r="M72" i="11" a="1"/>
  <c r="M72" i="11" s="1"/>
  <c r="M73" i="11" a="1"/>
  <c r="M73" i="11" s="1"/>
  <c r="M74" i="11" a="1"/>
  <c r="M74" i="11" s="1"/>
  <c r="M75" i="11" a="1"/>
  <c r="M75" i="11" s="1"/>
  <c r="M76" i="11" a="1"/>
  <c r="M76" i="11" s="1"/>
  <c r="M77" i="11" a="1"/>
  <c r="M77" i="11" s="1"/>
  <c r="M78" i="11" a="1"/>
  <c r="M78" i="11" s="1"/>
  <c r="M79" i="11" a="1"/>
  <c r="M79" i="11" s="1"/>
  <c r="M80" i="11" a="1"/>
  <c r="M80" i="11" s="1"/>
  <c r="M81" i="11" a="1"/>
  <c r="M81" i="11" s="1"/>
  <c r="M82" i="11" a="1"/>
  <c r="M82" i="11" s="1"/>
  <c r="M83" i="11" a="1"/>
  <c r="M83" i="11" s="1"/>
  <c r="M84" i="11" a="1"/>
  <c r="M84" i="11" s="1"/>
  <c r="M85" i="11" a="1"/>
  <c r="M85" i="11" s="1"/>
  <c r="M86" i="11" a="1"/>
  <c r="M86" i="11" s="1"/>
  <c r="M87" i="11" a="1"/>
  <c r="M87" i="11" s="1"/>
  <c r="M88" i="11" a="1"/>
  <c r="M88" i="11" s="1"/>
  <c r="M89" i="11" a="1"/>
  <c r="M89" i="11" s="1"/>
  <c r="M90" i="11" a="1"/>
  <c r="M90" i="11" s="1"/>
  <c r="M91" i="11" a="1"/>
  <c r="M91" i="11" s="1"/>
  <c r="M92" i="11" a="1"/>
  <c r="M92" i="11" s="1"/>
  <c r="M93" i="11" a="1"/>
  <c r="M93" i="11" s="1"/>
  <c r="M94" i="11" a="1"/>
  <c r="M94" i="11" s="1"/>
  <c r="M95" i="11" a="1"/>
  <c r="M95" i="11" s="1"/>
  <c r="M96" i="11" a="1"/>
  <c r="M96" i="11" s="1"/>
  <c r="M97" i="11" a="1"/>
  <c r="M97" i="11" s="1"/>
  <c r="M98" i="11" a="1"/>
  <c r="M98" i="11" s="1"/>
  <c r="M99" i="11" a="1"/>
  <c r="M99" i="11" s="1"/>
  <c r="M100" i="11" a="1"/>
  <c r="M100" i="11" s="1"/>
  <c r="M101" i="11" a="1"/>
  <c r="M101" i="11" s="1"/>
  <c r="M102" i="11" a="1"/>
  <c r="M102" i="11" s="1"/>
  <c r="M103" i="11" a="1"/>
  <c r="M103" i="11" s="1"/>
  <c r="M104" i="11" a="1"/>
  <c r="M104" i="11" s="1"/>
  <c r="M105" i="11" a="1"/>
  <c r="M105" i="11" s="1"/>
  <c r="I105" i="11" a="1"/>
  <c r="I105" i="11" s="1"/>
  <c r="G105" i="11" a="1"/>
  <c r="G105" i="11" s="1"/>
  <c r="E105" i="11" a="1"/>
  <c r="E105" i="11" s="1"/>
  <c r="E104" i="11" a="1"/>
  <c r="E104" i="11" s="1"/>
  <c r="G104" i="11" a="1"/>
  <c r="G104" i="11" s="1"/>
  <c r="I104" i="11" a="1"/>
  <c r="I104" i="11" s="1"/>
  <c r="E103" i="11" a="1"/>
  <c r="E103" i="11" s="1"/>
  <c r="G103" i="11" a="1"/>
  <c r="G103" i="11" s="1"/>
  <c r="I103" i="11" a="1"/>
  <c r="I103" i="11" s="1"/>
  <c r="E102" i="11" a="1"/>
  <c r="E102" i="11" s="1"/>
  <c r="G102" i="11" a="1"/>
  <c r="G102" i="11" s="1"/>
  <c r="I102" i="11" a="1"/>
  <c r="I102" i="11" s="1"/>
  <c r="E101" i="11" a="1"/>
  <c r="E101" i="11" s="1"/>
  <c r="G101" i="11" a="1"/>
  <c r="G101" i="11" s="1"/>
  <c r="I101" i="11" a="1"/>
  <c r="I101" i="11" s="1"/>
  <c r="E100" i="11" a="1"/>
  <c r="E100" i="11" s="1"/>
  <c r="G100" i="11" a="1"/>
  <c r="G100" i="11" s="1"/>
  <c r="I100" i="11" a="1"/>
  <c r="I100" i="11" s="1"/>
  <c r="E99" i="11" a="1"/>
  <c r="E99" i="11" s="1"/>
  <c r="G99" i="11" a="1"/>
  <c r="G99" i="11" s="1"/>
  <c r="I99" i="11" a="1"/>
  <c r="I99" i="11" s="1"/>
  <c r="E98" i="11" a="1"/>
  <c r="E98" i="11" s="1"/>
  <c r="G98" i="11" a="1"/>
  <c r="G98" i="11" s="1"/>
  <c r="I98" i="11" a="1"/>
  <c r="I98" i="11" s="1"/>
  <c r="E97" i="11" a="1"/>
  <c r="E97" i="11" s="1"/>
  <c r="G97" i="11" a="1"/>
  <c r="G97" i="11" s="1"/>
  <c r="I97" i="11" a="1"/>
  <c r="I97" i="11" s="1"/>
  <c r="E96" i="11" a="1"/>
  <c r="E96" i="11" s="1"/>
  <c r="G96" i="11" a="1"/>
  <c r="G96" i="11" s="1"/>
  <c r="I96" i="11" a="1"/>
  <c r="I96" i="11" s="1"/>
  <c r="E95" i="11" a="1"/>
  <c r="E95" i="11" s="1"/>
  <c r="G95" i="11" a="1"/>
  <c r="G95" i="11" s="1"/>
  <c r="I95" i="11" a="1"/>
  <c r="I95" i="11" s="1"/>
  <c r="E94" i="11" a="1"/>
  <c r="E94" i="11" s="1"/>
  <c r="G94" i="11" a="1"/>
  <c r="G94" i="11" s="1"/>
  <c r="I94" i="11" a="1"/>
  <c r="I94" i="11" s="1"/>
  <c r="E93" i="11" a="1"/>
  <c r="E93" i="11" s="1"/>
  <c r="G93" i="11" a="1"/>
  <c r="G93" i="11" s="1"/>
  <c r="I93" i="11" a="1"/>
  <c r="I93" i="11" s="1"/>
  <c r="E92" i="11" a="1"/>
  <c r="E92" i="11" s="1"/>
  <c r="G92" i="11" a="1"/>
  <c r="G92" i="11" s="1"/>
  <c r="I92" i="11" a="1"/>
  <c r="I92" i="11" s="1"/>
  <c r="E91" i="11" a="1"/>
  <c r="E91" i="11" s="1"/>
  <c r="G91" i="11" a="1"/>
  <c r="G91" i="11" s="1"/>
  <c r="I91" i="11" a="1"/>
  <c r="I91" i="11" s="1"/>
  <c r="E90" i="11" a="1"/>
  <c r="E90" i="11" s="1"/>
  <c r="G90" i="11" a="1"/>
  <c r="G90" i="11" s="1"/>
  <c r="I90" i="11" a="1"/>
  <c r="I90" i="11" s="1"/>
  <c r="E89" i="11" a="1"/>
  <c r="E89" i="11" s="1"/>
  <c r="G89" i="11" a="1"/>
  <c r="G89" i="11" s="1"/>
  <c r="I89" i="11" a="1"/>
  <c r="I89" i="11" s="1"/>
  <c r="E88" i="11" a="1"/>
  <c r="E88" i="11" s="1"/>
  <c r="G88" i="11" a="1"/>
  <c r="G88" i="11" s="1"/>
  <c r="I88" i="11" a="1"/>
  <c r="I88" i="11" s="1"/>
  <c r="E87" i="11" a="1"/>
  <c r="E87" i="11" s="1"/>
  <c r="G87" i="11" a="1"/>
  <c r="G87" i="11" s="1"/>
  <c r="I87" i="11" a="1"/>
  <c r="I87" i="11" s="1"/>
  <c r="E86" i="11" a="1"/>
  <c r="E86" i="11" s="1"/>
  <c r="G86" i="11" a="1"/>
  <c r="G86" i="11" s="1"/>
  <c r="I86" i="11" a="1"/>
  <c r="I86" i="11" s="1"/>
  <c r="E85" i="11" a="1"/>
  <c r="E85" i="11" s="1"/>
  <c r="G85" i="11" a="1"/>
  <c r="G85" i="11" s="1"/>
  <c r="I85" i="11" a="1"/>
  <c r="I85" i="11" s="1"/>
  <c r="E84" i="11" a="1"/>
  <c r="E84" i="11" s="1"/>
  <c r="G84" i="11" a="1"/>
  <c r="G84" i="11" s="1"/>
  <c r="I84" i="11" a="1"/>
  <c r="I84" i="11" s="1"/>
  <c r="E83" i="11" a="1"/>
  <c r="E83" i="11" s="1"/>
  <c r="G83" i="11" a="1"/>
  <c r="G83" i="11" s="1"/>
  <c r="I83" i="11" a="1"/>
  <c r="I83" i="11" s="1"/>
  <c r="E82" i="11" a="1"/>
  <c r="E82" i="11" s="1"/>
  <c r="G82" i="11" a="1"/>
  <c r="G82" i="11" s="1"/>
  <c r="I82" i="11" a="1"/>
  <c r="I82" i="11" s="1"/>
  <c r="E81" i="11" a="1"/>
  <c r="E81" i="11" s="1"/>
  <c r="G81" i="11" a="1"/>
  <c r="G81" i="11" s="1"/>
  <c r="I81" i="11" a="1"/>
  <c r="I81" i="11" s="1"/>
  <c r="E80" i="11" a="1"/>
  <c r="E80" i="11" s="1"/>
  <c r="G80" i="11" a="1"/>
  <c r="G80" i="11" s="1"/>
  <c r="I80" i="11" a="1"/>
  <c r="I80" i="11" s="1"/>
  <c r="E79" i="11" a="1"/>
  <c r="E79" i="11" s="1"/>
  <c r="G79" i="11" a="1"/>
  <c r="G79" i="11" s="1"/>
  <c r="I79" i="11" a="1"/>
  <c r="I79" i="11" s="1"/>
  <c r="E78" i="11" a="1"/>
  <c r="E78" i="11" s="1"/>
  <c r="G78" i="11" a="1"/>
  <c r="G78" i="11" s="1"/>
  <c r="I78" i="11" a="1"/>
  <c r="I78" i="11" s="1"/>
  <c r="E77" i="11" a="1"/>
  <c r="E77" i="11" s="1"/>
  <c r="G77" i="11" a="1"/>
  <c r="G77" i="11" s="1"/>
  <c r="I77" i="11" a="1"/>
  <c r="I77" i="11" s="1"/>
  <c r="E76" i="11" a="1"/>
  <c r="E76" i="11" s="1"/>
  <c r="G76" i="11" a="1"/>
  <c r="G76" i="11" s="1"/>
  <c r="I76" i="11" a="1"/>
  <c r="I76" i="11" s="1"/>
  <c r="E75" i="11" a="1"/>
  <c r="E75" i="11" s="1"/>
  <c r="G75" i="11" a="1"/>
  <c r="G75" i="11" s="1"/>
  <c r="I75" i="11" a="1"/>
  <c r="I75" i="11" s="1"/>
  <c r="E74" i="11" a="1"/>
  <c r="E74" i="11" s="1"/>
  <c r="G74" i="11" a="1"/>
  <c r="G74" i="11" s="1"/>
  <c r="I74" i="11" a="1"/>
  <c r="I74" i="11" s="1"/>
  <c r="E73" i="11" a="1"/>
  <c r="E73" i="11" s="1"/>
  <c r="G73" i="11" a="1"/>
  <c r="G73" i="11" s="1"/>
  <c r="I73" i="11" a="1"/>
  <c r="I73" i="11" s="1"/>
  <c r="I72" i="11" a="1"/>
  <c r="I72" i="11" s="1"/>
  <c r="G72" i="11" a="1"/>
  <c r="G72" i="11" s="1"/>
  <c r="I71" i="11" a="1"/>
  <c r="I71" i="11" s="1"/>
  <c r="G71" i="11" a="1"/>
  <c r="G71" i="11" s="1"/>
  <c r="E71" i="11" a="1"/>
  <c r="E71" i="11" s="1"/>
  <c r="E72" i="11" a="1"/>
  <c r="E72" i="11" s="1"/>
  <c r="G70" i="11" a="1"/>
  <c r="G70" i="11" s="1"/>
  <c r="E70" i="11" a="1"/>
  <c r="E70" i="11" s="1"/>
  <c r="I70" i="11" a="1"/>
  <c r="I70" i="11" s="1"/>
  <c r="I69" i="11" a="1"/>
  <c r="I69" i="11" s="1"/>
  <c r="G69" i="11" a="1"/>
  <c r="G69" i="11" s="1"/>
  <c r="E69" i="11" a="1"/>
  <c r="E69" i="11" s="1"/>
  <c r="I68" i="11" a="1"/>
  <c r="I68" i="11" s="1"/>
  <c r="G68" i="11" a="1"/>
  <c r="G68" i="11" s="1"/>
  <c r="E68" i="11" a="1"/>
  <c r="E68" i="11" s="1"/>
  <c r="I67" i="11" a="1"/>
  <c r="I67" i="11" s="1"/>
  <c r="G67" i="11" a="1"/>
  <c r="G67" i="11" s="1"/>
  <c r="E67" i="11" a="1"/>
  <c r="E67" i="11" s="1"/>
  <c r="I66" i="11" a="1"/>
  <c r="I66" i="11" s="1"/>
  <c r="G66" i="11" a="1"/>
  <c r="G66" i="11" s="1"/>
  <c r="E66" i="11" a="1"/>
  <c r="E66" i="11" s="1"/>
  <c r="I65" i="11" a="1"/>
  <c r="I65" i="11" s="1"/>
  <c r="G65" i="11" a="1"/>
  <c r="G65" i="11" s="1"/>
  <c r="E65" i="11" a="1"/>
  <c r="E65" i="11" s="1"/>
  <c r="I64" i="11" a="1"/>
  <c r="I64" i="11" s="1"/>
  <c r="G64" i="11" a="1"/>
  <c r="G64" i="11" s="1"/>
  <c r="E64" i="11" a="1"/>
  <c r="E64" i="11" s="1"/>
  <c r="I63" i="11" a="1"/>
  <c r="I63" i="11" s="1"/>
  <c r="G63" i="11" a="1"/>
  <c r="G63" i="11" s="1"/>
  <c r="E63" i="11" a="1"/>
  <c r="E63" i="11" s="1"/>
  <c r="I62" i="11" a="1"/>
  <c r="I62" i="11" s="1"/>
  <c r="G62" i="11" a="1"/>
  <c r="G62" i="11" s="1"/>
  <c r="E62" i="11" a="1"/>
  <c r="E62" i="11" s="1"/>
  <c r="I61" i="11" a="1"/>
  <c r="I61" i="11" s="1"/>
  <c r="G61" i="11" a="1"/>
  <c r="G61" i="11" s="1"/>
  <c r="E61" i="11" a="1"/>
  <c r="E61" i="11" s="1"/>
  <c r="I60" i="11" a="1"/>
  <c r="I60" i="11" s="1"/>
  <c r="G60" i="11" a="1"/>
  <c r="G60" i="11" s="1"/>
  <c r="E60" i="11" a="1"/>
  <c r="E60" i="11" s="1"/>
  <c r="I59" i="11" a="1"/>
  <c r="I59" i="11" s="1"/>
  <c r="G59" i="11" a="1"/>
  <c r="G59" i="11" s="1"/>
  <c r="E59" i="11" a="1"/>
  <c r="E59" i="11" s="1"/>
  <c r="I58" i="11" a="1"/>
  <c r="I58" i="11" s="1"/>
  <c r="G58" i="11" a="1"/>
  <c r="G58" i="11" s="1"/>
  <c r="E58" i="11" a="1"/>
  <c r="E58" i="11" s="1"/>
  <c r="I57" i="11" a="1"/>
  <c r="I57" i="11" s="1"/>
  <c r="G57" i="11" a="1"/>
  <c r="G57" i="11" s="1"/>
  <c r="E57" i="11" a="1"/>
  <c r="E57" i="11" s="1"/>
  <c r="I56" i="11" a="1"/>
  <c r="I56" i="11" s="1"/>
  <c r="G56" i="11" a="1"/>
  <c r="G56" i="11" s="1"/>
  <c r="E56" i="11" a="1"/>
  <c r="E56" i="11" s="1"/>
  <c r="I55" i="11" a="1"/>
  <c r="I55" i="11" s="1"/>
  <c r="G55" i="11" a="1"/>
  <c r="G55" i="11" s="1"/>
  <c r="E55" i="11" a="1"/>
  <c r="E55" i="11" s="1"/>
  <c r="I54" i="11" a="1"/>
  <c r="I54" i="11" s="1"/>
  <c r="G54" i="11" a="1"/>
  <c r="G54" i="11" s="1"/>
  <c r="E54" i="11" a="1"/>
  <c r="E54" i="11" s="1"/>
  <c r="I53" i="11" a="1"/>
  <c r="I53" i="11" s="1"/>
  <c r="G53" i="11" a="1"/>
  <c r="G53" i="11" s="1"/>
  <c r="E53" i="11" a="1"/>
  <c r="E53" i="11" s="1"/>
  <c r="I52" i="11" a="1"/>
  <c r="I52" i="11" s="1"/>
  <c r="G52" i="11" a="1"/>
  <c r="G52" i="11" s="1"/>
  <c r="E52" i="11" a="1"/>
  <c r="E52" i="11" s="1"/>
  <c r="I51" i="11" a="1"/>
  <c r="I51" i="11" s="1"/>
  <c r="G51" i="11" a="1"/>
  <c r="G51" i="11" s="1"/>
  <c r="E51" i="11" a="1"/>
  <c r="E51" i="11" s="1"/>
  <c r="I50" i="11" a="1"/>
  <c r="I50" i="11" s="1"/>
  <c r="G50" i="11" a="1"/>
  <c r="G50" i="11" s="1"/>
  <c r="E50" i="11" a="1"/>
  <c r="E50" i="11" s="1"/>
  <c r="I49" i="11" a="1"/>
  <c r="I49" i="11" s="1"/>
  <c r="G49" i="11" a="1"/>
  <c r="G49" i="11" s="1"/>
  <c r="E49" i="11" a="1"/>
  <c r="E49" i="11" s="1"/>
  <c r="I48" i="11" a="1"/>
  <c r="I48" i="11" s="1"/>
  <c r="G48" i="11" a="1"/>
  <c r="G48" i="11" s="1"/>
  <c r="E48" i="11" a="1"/>
  <c r="E48" i="11" s="1"/>
  <c r="I47" i="11" a="1"/>
  <c r="I47" i="11" s="1"/>
  <c r="G47" i="11" a="1"/>
  <c r="G47" i="11" s="1"/>
  <c r="E47" i="11" a="1"/>
  <c r="E47" i="11" s="1"/>
  <c r="I46" i="11" a="1"/>
  <c r="I46" i="11" s="1"/>
  <c r="G46" i="11" a="1"/>
  <c r="G46" i="11" s="1"/>
  <c r="E46" i="11" a="1"/>
  <c r="E46" i="11" s="1"/>
  <c r="I45" i="11" a="1"/>
  <c r="I45" i="11" s="1"/>
  <c r="G45" i="11" a="1"/>
  <c r="G45" i="11" s="1"/>
  <c r="E45" i="11" a="1"/>
  <c r="E45" i="11" s="1"/>
  <c r="I44" i="11" a="1"/>
  <c r="I44" i="11" s="1"/>
  <c r="G44" i="11" a="1"/>
  <c r="G44" i="11" s="1"/>
  <c r="E44" i="11" a="1"/>
  <c r="E44" i="11" s="1"/>
  <c r="I43" i="11" a="1"/>
  <c r="I43" i="11" s="1"/>
  <c r="G43" i="11" a="1"/>
  <c r="G43" i="11" s="1"/>
  <c r="E43" i="11" a="1"/>
  <c r="E43" i="11" s="1"/>
  <c r="I42" i="11" a="1"/>
  <c r="I42" i="11" s="1"/>
  <c r="G42" i="11" a="1"/>
  <c r="G42" i="11" s="1"/>
  <c r="E42" i="11" a="1"/>
  <c r="E42" i="11" s="1"/>
  <c r="I41" i="11" a="1"/>
  <c r="I41" i="11" s="1"/>
  <c r="G41" i="11" a="1"/>
  <c r="G41" i="11" s="1"/>
  <c r="E41" i="11" a="1"/>
  <c r="E41" i="11" s="1"/>
  <c r="G40" i="11" a="1"/>
  <c r="G40" i="11" s="1"/>
  <c r="I40" i="11" a="1"/>
  <c r="I40" i="11" s="1"/>
  <c r="E40" i="11" a="1"/>
  <c r="E40" i="11" s="1"/>
  <c r="G39" i="11" a="1"/>
  <c r="G39" i="11" s="1"/>
  <c r="I39" i="11" a="1"/>
  <c r="I39" i="11" s="1"/>
  <c r="E39" i="11" a="1"/>
  <c r="E39" i="11" s="1"/>
  <c r="I38" i="11" a="1"/>
  <c r="I38" i="11" s="1"/>
  <c r="G38" i="11" a="1"/>
  <c r="G38" i="11" s="1"/>
  <c r="E38" i="11" a="1"/>
  <c r="E38" i="11" s="1"/>
  <c r="I37" i="11" a="1"/>
  <c r="I37" i="11" s="1"/>
  <c r="G37" i="11" a="1"/>
  <c r="G37" i="11" s="1"/>
  <c r="E37" i="11" a="1"/>
  <c r="E37" i="11" s="1"/>
  <c r="I36" i="11" a="1"/>
  <c r="I36" i="11" s="1"/>
  <c r="G36" i="11" a="1"/>
  <c r="G36" i="11" s="1"/>
  <c r="E36" i="11" a="1"/>
  <c r="E36" i="11" s="1"/>
  <c r="I35" i="11" a="1"/>
  <c r="I35" i="11" s="1"/>
  <c r="G35" i="11" a="1"/>
  <c r="G35" i="11" s="1"/>
  <c r="E35" i="11" a="1"/>
  <c r="E35" i="11" s="1"/>
  <c r="I34" i="11" a="1"/>
  <c r="I34" i="11" s="1"/>
  <c r="G34" i="11" a="1"/>
  <c r="G34" i="11" s="1"/>
  <c r="E34" i="11" a="1"/>
  <c r="E34" i="11" s="1"/>
  <c r="I33" i="11" a="1"/>
  <c r="I33" i="11" s="1"/>
  <c r="G33" i="11" a="1"/>
  <c r="G33" i="11" s="1"/>
  <c r="E33" i="11" a="1"/>
  <c r="E33" i="11" s="1"/>
  <c r="I32" i="11" a="1"/>
  <c r="I32" i="11" s="1"/>
  <c r="G32" i="11" a="1"/>
  <c r="G32" i="11" s="1"/>
  <c r="E32" i="11" a="1"/>
  <c r="E32" i="11" s="1"/>
  <c r="I31" i="11" a="1"/>
  <c r="I31" i="11" s="1"/>
  <c r="G31" i="11" a="1"/>
  <c r="G31" i="11" s="1"/>
  <c r="E31" i="11" a="1"/>
  <c r="E31" i="11" s="1"/>
  <c r="I30" i="11" a="1"/>
  <c r="I30" i="11" s="1"/>
  <c r="G30" i="11" a="1"/>
  <c r="G30" i="11" s="1"/>
  <c r="E30" i="11" a="1"/>
  <c r="E30" i="11" s="1"/>
  <c r="I29" i="11" a="1"/>
  <c r="I29" i="11" s="1"/>
  <c r="G29" i="11" a="1"/>
  <c r="G29" i="11" s="1"/>
  <c r="E29" i="11" a="1"/>
  <c r="E29" i="11" s="1"/>
  <c r="I28" i="11" a="1"/>
  <c r="I28" i="11" s="1"/>
  <c r="G28" i="11" a="1"/>
  <c r="G28" i="11" s="1"/>
  <c r="I27" i="11" a="1"/>
  <c r="I27" i="11" s="1"/>
  <c r="G27" i="11" a="1"/>
  <c r="G27" i="11" s="1"/>
  <c r="E27" i="11" a="1"/>
  <c r="E27" i="11" s="1"/>
  <c r="I26" i="11" a="1"/>
  <c r="I26" i="11" s="1"/>
  <c r="E26" i="11" a="1"/>
  <c r="E26" i="11" s="1"/>
  <c r="E28" i="11" a="1"/>
  <c r="E28" i="11" s="1"/>
  <c r="G26" i="11" a="1"/>
  <c r="G26" i="11" s="1"/>
  <c r="I25" i="11" a="1"/>
  <c r="I25" i="11" s="1"/>
  <c r="G25" i="11" a="1"/>
  <c r="G25" i="11" s="1"/>
  <c r="E25" i="11" a="1"/>
  <c r="E25" i="11" s="1"/>
  <c r="I24" i="11" a="1"/>
  <c r="I24" i="11" s="1"/>
  <c r="G24" i="11" a="1"/>
  <c r="G24" i="11" s="1"/>
  <c r="E24" i="11" a="1"/>
  <c r="E24" i="11" s="1"/>
  <c r="I23" i="11" a="1"/>
  <c r="I23" i="11" s="1"/>
  <c r="G23" i="11" a="1"/>
  <c r="G23" i="11" s="1"/>
  <c r="E23" i="11" a="1"/>
  <c r="E23" i="11" s="1"/>
  <c r="I22" i="11" a="1"/>
  <c r="I22" i="11" s="1"/>
  <c r="G22" i="11" a="1"/>
  <c r="G22" i="11" s="1"/>
  <c r="E22" i="11" a="1"/>
  <c r="E22" i="11" s="1"/>
  <c r="I20" i="11" a="1"/>
  <c r="I20" i="11" s="1"/>
  <c r="G20" i="11" a="1"/>
  <c r="G20" i="11" s="1"/>
  <c r="E20" i="11" a="1"/>
  <c r="E20" i="11" s="1"/>
  <c r="I21" i="11" a="1"/>
  <c r="I21" i="11" s="1"/>
  <c r="G21" i="11" a="1"/>
  <c r="G21" i="11" s="1"/>
  <c r="E21" i="11" a="1"/>
  <c r="E21" i="11" s="1"/>
  <c r="I19" i="11" a="1"/>
  <c r="I19" i="11" s="1"/>
  <c r="G19" i="11" a="1"/>
  <c r="G19" i="11" s="1"/>
  <c r="E19" i="11" a="1"/>
  <c r="E19" i="11" s="1"/>
  <c r="I18" i="11" a="1"/>
  <c r="I18" i="11" s="1"/>
  <c r="G18" i="11" a="1"/>
  <c r="G18" i="11" s="1"/>
  <c r="E18" i="11" a="1"/>
  <c r="E18" i="11" s="1"/>
  <c r="I17" i="11" a="1"/>
  <c r="I17" i="11" s="1"/>
  <c r="E17" i="11" a="1"/>
  <c r="E17" i="11" s="1"/>
  <c r="G17" i="11" a="1"/>
  <c r="G17" i="11" s="1"/>
  <c r="I16" i="11" a="1"/>
  <c r="I16" i="11" s="1"/>
  <c r="G16" i="11" a="1"/>
  <c r="G16" i="11" s="1"/>
  <c r="E16" i="11" a="1"/>
  <c r="E16" i="11" s="1"/>
  <c r="I15" i="11" a="1"/>
  <c r="I15" i="11" s="1"/>
  <c r="G15" i="11" a="1"/>
  <c r="G15" i="11" s="1"/>
  <c r="E15" i="11" a="1"/>
  <c r="E15" i="11" s="1"/>
  <c r="I14" i="11" a="1"/>
  <c r="I14" i="11" s="1"/>
  <c r="G14" i="11" a="1"/>
  <c r="G14" i="11" s="1"/>
  <c r="E14" i="11" a="1"/>
  <c r="E14" i="11" s="1"/>
  <c r="I13" i="11" a="1"/>
  <c r="I13" i="11" s="1"/>
  <c r="G13" i="11" a="1"/>
  <c r="G13" i="11" s="1"/>
  <c r="E13" i="11" a="1"/>
  <c r="E13" i="11" s="1"/>
  <c r="I12" i="11" a="1"/>
  <c r="I12" i="11" s="1"/>
  <c r="G12" i="11" a="1"/>
  <c r="G12" i="11" s="1"/>
  <c r="E12" i="11" a="1"/>
  <c r="E12" i="11" s="1"/>
  <c r="I11" i="11" a="1"/>
  <c r="I11" i="11" s="1"/>
  <c r="G11" i="11" a="1"/>
  <c r="G11" i="11" s="1"/>
  <c r="E11" i="11" a="1"/>
  <c r="E11" i="11" s="1"/>
  <c r="I10" i="11" a="1"/>
  <c r="I10" i="11" s="1"/>
  <c r="G10" i="11" a="1"/>
  <c r="G10" i="11" s="1"/>
  <c r="E10" i="11" a="1"/>
  <c r="E10" i="11" s="1"/>
  <c r="I9" i="11" a="1"/>
  <c r="I9" i="11" s="1"/>
  <c r="G9" i="11" a="1"/>
  <c r="G9" i="11" s="1"/>
  <c r="E9" i="11" a="1"/>
  <c r="E9" i="11" s="1"/>
  <c r="I8" i="11" a="1"/>
  <c r="I8" i="11" s="1"/>
  <c r="G8" i="11" a="1"/>
  <c r="G8" i="11" s="1"/>
  <c r="E8" i="11" a="1"/>
  <c r="E8" i="11" s="1"/>
  <c r="I7" i="11" a="1"/>
  <c r="I7" i="11" s="1"/>
  <c r="G7" i="11" a="1"/>
  <c r="G7" i="11" s="1"/>
  <c r="E7" i="11" a="1"/>
  <c r="E7" i="11" s="1"/>
  <c r="I6" i="11" a="1"/>
  <c r="I6" i="11" s="1"/>
  <c r="I5" i="11" a="1"/>
  <c r="I5" i="11" s="1"/>
  <c r="I4" i="11" a="1"/>
  <c r="I4" i="11" s="1"/>
  <c r="I3" i="11" a="1"/>
  <c r="I3" i="11" s="1"/>
  <c r="I2" i="11" a="1"/>
  <c r="I2" i="11" s="1"/>
  <c r="G6" i="11" a="1"/>
  <c r="G6" i="11" s="1"/>
  <c r="G5" i="11" a="1"/>
  <c r="G5" i="11" s="1"/>
  <c r="G4" i="11" a="1"/>
  <c r="G4" i="11" s="1"/>
  <c r="G3" i="11" a="1"/>
  <c r="G3" i="11" s="1"/>
  <c r="G2" i="11" a="1"/>
  <c r="G2" i="11" s="1"/>
  <c r="E2" i="11" a="1"/>
  <c r="E2" i="11" s="1"/>
  <c r="E3" i="11" a="1"/>
  <c r="E3" i="11" s="1"/>
  <c r="E4" i="11" a="1"/>
  <c r="E4" i="11" s="1"/>
  <c r="E5" i="11" a="1"/>
  <c r="E5" i="11" s="1"/>
  <c r="E6" i="11" a="1"/>
  <c r="E6" i="11" s="1"/>
  <c r="A12" i="16" l="1"/>
  <c r="A11" i="16" s="1"/>
  <c r="B13" i="16"/>
  <c r="B11" i="16" l="1"/>
  <c r="A10" i="16"/>
  <c r="B12" i="16"/>
  <c r="B10" i="16" l="1"/>
  <c r="A9" i="16"/>
  <c r="B9" i="16" l="1"/>
  <c r="A8" i="16"/>
  <c r="B8" i="16" l="1"/>
  <c r="A7" i="16"/>
  <c r="B7" i="16" l="1"/>
  <c r="A6" i="16"/>
  <c r="B6" i="16" l="1"/>
  <c r="A5" i="16"/>
  <c r="B5" i="16" l="1"/>
  <c r="A4" i="16"/>
  <c r="B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z0026jjc</author>
  </authors>
  <commentList>
    <comment ref="A1" authorId="0" shapeId="0" xr:uid="{1362DC63-1C44-4B52-A972-E292CE491DF0}">
      <text>
        <r>
          <rPr>
            <b/>
            <sz val="9"/>
            <color indexed="81"/>
            <rFont val="Segoe UI"/>
            <family val="2"/>
          </rPr>
          <t>Ap partir de 2021/08/25</t>
        </r>
      </text>
    </comment>
    <comment ref="B31" authorId="0" shapeId="0" xr:uid="{2919B1B8-93BC-43AE-903B-A59FD6EC2F3F}">
      <text>
        <r>
          <rPr>
            <b/>
            <sz val="9"/>
            <color indexed="81"/>
            <rFont val="Segoe UI"/>
            <family val="2"/>
          </rPr>
          <t>z0026jjc:</t>
        </r>
        <r>
          <rPr>
            <sz val="9"/>
            <color indexed="81"/>
            <rFont val="Segoe UI"/>
            <family val="2"/>
          </rPr>
          <t xml:space="preserve">
Solicitar nome do software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<sst xmlns="http://schemas.openxmlformats.org/spreadsheetml/2006/main" count="2538" uniqueCount="1040">
  <si>
    <t>Utilizações</t>
  </si>
  <si>
    <t>Problema</t>
  </si>
  <si>
    <t>Costumer Identification</t>
  </si>
  <si>
    <t>Category</t>
  </si>
  <si>
    <t>Cod_Category</t>
  </si>
  <si>
    <t>Subcategory</t>
  </si>
  <si>
    <t>Cod_Category2</t>
  </si>
  <si>
    <t>Subsubcategory</t>
  </si>
  <si>
    <t>Cod_Category3</t>
  </si>
  <si>
    <t>Template</t>
  </si>
  <si>
    <t>Short Description</t>
  </si>
  <si>
    <t>Description</t>
  </si>
  <si>
    <t>Data Points</t>
  </si>
  <si>
    <t>Tipo</t>
  </si>
  <si>
    <t>Verificação de pacote Office</t>
  </si>
  <si>
    <t>Software</t>
  </si>
  <si>
    <t>Managed Software Workplace</t>
  </si>
  <si>
    <t>O365 Installation Issues</t>
  </si>
  <si>
    <t>Usuário realizou o ZTI no equipamento e solicita a verificação de que se o pacote Office foi instalado corretamente.</t>
  </si>
  <si>
    <t>Office faltando depois do ZTI</t>
  </si>
  <si>
    <t>Sem pacote Office após ZTI</t>
  </si>
  <si>
    <t>Usuário informa que ao logar em sua máquina após o ZTI verificou que o Office não está instalado.</t>
  </si>
  <si>
    <t>#ZTI não inicia</t>
  </si>
  <si>
    <t>Workplace</t>
  </si>
  <si>
    <t>DWP Win 10 Local Client</t>
  </si>
  <si>
    <t>ZTI - Zero Touch Installation</t>
  </si>
  <si>
    <t>ISD - Windows 10 / DWP Standard Client</t>
  </si>
  <si>
    <t>ZTI não inicia</t>
  </si>
  <si>
    <t>Usuário informa que não consegue iniciar o ZTI</t>
  </si>
  <si>
    <t>PKI não funciona - Hardware</t>
  </si>
  <si>
    <t>Z0045k6d</t>
  </si>
  <si>
    <t>Client Hardware</t>
  </si>
  <si>
    <t>Laptop</t>
  </si>
  <si>
    <t>PKI não funciona</t>
  </si>
  <si>
    <t>Usuário informa que ao encaixar o crachá em seu notebook o ícone do PKI permanece cinza, não amarelo</t>
  </si>
  <si>
    <t>Não consegue imprimir - PKI</t>
  </si>
  <si>
    <t>Z003X7ZF</t>
  </si>
  <si>
    <t>Output Management</t>
  </si>
  <si>
    <t>OMS Print Ricoh</t>
  </si>
  <si>
    <t>PKI Authentication</t>
  </si>
  <si>
    <t>ISD - OMS Print</t>
  </si>
  <si>
    <t>Não consegue imprimir</t>
  </si>
  <si>
    <t>Usuário informa que não consegue imprimir - Erro de autenticação ao logar com o crachá PKI</t>
  </si>
  <si>
    <t>Ajuda para ativar PKI</t>
  </si>
  <si>
    <t>Security and Access</t>
  </si>
  <si>
    <t>PKI Services</t>
  </si>
  <si>
    <t>PKI Certificate</t>
  </si>
  <si>
    <t>Ativação de PKI</t>
  </si>
  <si>
    <t>Usuário solicita ajuda para ativar seu novo crachá com PKI</t>
  </si>
  <si>
    <t>Service Request</t>
  </si>
  <si>
    <t>Arquivos na rede criptografada corrompendo</t>
  </si>
  <si>
    <t>File Share Encryption</t>
  </si>
  <si>
    <t>Arquivos na rede corrompendo</t>
  </si>
  <si>
    <t>Usuário informa que ao abrir ou salvar arquivos em pastas de rede criptografadas o arquivo não abre ou é corrompido.</t>
  </si>
  <si>
    <t>Outlook não funciona</t>
  </si>
  <si>
    <t>O365 Applications</t>
  </si>
  <si>
    <t>Usuário informa que seu Outlook não está enviando ou recebendo mensagens</t>
  </si>
  <si>
    <t>Rekey PKI</t>
  </si>
  <si>
    <t>Compartilhar arquivos pelo OneDrive</t>
  </si>
  <si>
    <t>Collaboration</t>
  </si>
  <si>
    <t>OneDrive</t>
  </si>
  <si>
    <t>Sharing/Syncing Issues</t>
  </si>
  <si>
    <t>Usuário solicita ajuda para compartilhar arquivos do OneDrive</t>
  </si>
  <si>
    <t>PKI não funciona - Software</t>
  </si>
  <si>
    <t>System Settings (for Driver &amp; policy)</t>
  </si>
  <si>
    <t>Usuário informa que ao utilizar sistemas em que o PKI é necessário não é solicitada a senha e portanto a autenticação não funciona.</t>
  </si>
  <si>
    <t>Equipamento bloqueado - falta de atualizações</t>
  </si>
  <si>
    <t>Client Login</t>
  </si>
  <si>
    <t>Usuário informa que não consegue logar em seu equipamento, aparece a mensagem de conta bloqueada. Informa que não conseguiu realizar as atualizações de segurança necessárias e consequentemente a máquina bloqueou.</t>
  </si>
  <si>
    <t>Cliente bloqueado</t>
  </si>
  <si>
    <t>Equipamento fora da rede</t>
  </si>
  <si>
    <t>Usuário informa que não consegue logar em seu equipamento, aparece a mensagem de conta bloqueada.</t>
  </si>
  <si>
    <t>Reset de senha</t>
  </si>
  <si>
    <t>Identity and Account Management</t>
  </si>
  <si>
    <t>ISD - Pending CC, Password Reset</t>
  </si>
  <si>
    <t>Usuário solicita o reset de sua senha do Windows.</t>
  </si>
  <si>
    <t>PKI não encaixa - bateria estufada</t>
  </si>
  <si>
    <t>Cartão PKI encaixando com dificuldade</t>
  </si>
  <si>
    <t>Usuário informa que ao encaixar seu cartão PKI em seu notebook enfrenta grande resistência. Informa que o problema apareceu há pouco tempo.</t>
  </si>
  <si>
    <t>Não pega rede</t>
  </si>
  <si>
    <t>Network</t>
  </si>
  <si>
    <t>Local Area Network (LAN)</t>
  </si>
  <si>
    <t>Connectivity</t>
  </si>
  <si>
    <t>Rede não funciona</t>
  </si>
  <si>
    <t>Usuário informa que não consegue utilizar nada da rede, como internet, pastas de rede, etc.</t>
  </si>
  <si>
    <t>Incident</t>
  </si>
  <si>
    <t>Recuperar arquivos do HD</t>
  </si>
  <si>
    <t>System Performance</t>
  </si>
  <si>
    <t>Recuperação de arquivos no HD</t>
  </si>
  <si>
    <t>Usuário solicita ajuda para recuperar arquivos do HD de seu notebook.</t>
  </si>
  <si>
    <t>ZTI não termina - erro de tela branca</t>
  </si>
  <si>
    <t>Usuário informa que está tentando realizar o ZTI, o processo inicia mas não conclui, apresentando uma tela branca de erro</t>
  </si>
  <si>
    <t>Guest não conecta</t>
  </si>
  <si>
    <t>Wireless Local Area Network (WLAN)</t>
  </si>
  <si>
    <t>Guest WLAN</t>
  </si>
  <si>
    <t>Usuário informa que não consegue conectar na rede guest</t>
  </si>
  <si>
    <t>Chave de recuperação do Bitlocker</t>
  </si>
  <si>
    <t>Bitlocker Pwd (FCR)</t>
  </si>
  <si>
    <t>Usuário solicita a chave de recuperação do Bitlocker de sua máquina.</t>
  </si>
  <si>
    <t>Microfone não funciona</t>
  </si>
  <si>
    <t>Usuário informa que o microfone de seu notebook e headset não funcionam no Teams nem em outras aplicações.</t>
  </si>
  <si>
    <t>Card OS não tá instalado</t>
  </si>
  <si>
    <t>Standard Software</t>
  </si>
  <si>
    <t>CardOS não instalado</t>
  </si>
  <si>
    <t>Usuário informa que não encontra o CardOS em seu notebook e solicita ajuda para instalação</t>
  </si>
  <si>
    <t>Teclas FN para o padrão</t>
  </si>
  <si>
    <t>Usuário solicita que altere as teclas de função para que não ative as funções de controle de hardware por padrão, apenas em conjunto com a tecla "FN".</t>
  </si>
  <si>
    <t>Mapeamento de caixa de email compartilhada</t>
  </si>
  <si>
    <t>Usuário solicita ajuda para mapear uma caixa de e-mail compartilhada</t>
  </si>
  <si>
    <t>Arquivo na rede não abre</t>
  </si>
  <si>
    <t>Hosting Services</t>
  </si>
  <si>
    <t>Managed Filespace</t>
  </si>
  <si>
    <t>SHS File Service [AD005]</t>
  </si>
  <si>
    <t>Usuário informa que não consegue abrir um arquivo em uma pasta de rede</t>
  </si>
  <si>
    <t>PKI não funciona - Crachá com defeito</t>
  </si>
  <si>
    <t>PKI com erro - X vermelho</t>
  </si>
  <si>
    <t>Usuário informa que não consegue utilizar os serviços que solicitam seu PKI, no ícone do CardOS aparece um "X" vermelho.</t>
  </si>
  <si>
    <t>OS não sobe</t>
  </si>
  <si>
    <t>Windows não inicia</t>
  </si>
  <si>
    <t>Usuário informa que ao ligar seu computador é apresentado um erro e o Windows não completa a inicialização.</t>
  </si>
  <si>
    <t>Rede não conecta - DNS errado</t>
  </si>
  <si>
    <t>Rede não conecta</t>
  </si>
  <si>
    <t>Usuário informa que consegue conectar-se a rede de sua casa mas a internet não funciona.</t>
  </si>
  <si>
    <t>Alteração senha adm local</t>
  </si>
  <si>
    <t>Alterar senha de adminstrador local</t>
  </si>
  <si>
    <t>Usuário informa que precisou utilizar o usuário adminstrador local mas a senha informada pelo Service Desk não funciona. Solicita que seja alterada para futuras vezes em que seja necessária.</t>
  </si>
  <si>
    <t>#Software do SC não instala</t>
  </si>
  <si>
    <t>#Software não instala</t>
  </si>
  <si>
    <t>Usuário informa que não consegue instalar o #Software via Software Center, é apresentada mensagem de erro.</t>
  </si>
  <si>
    <t>Erro no SAP - não existe nome SNC</t>
  </si>
  <si>
    <t>Usuário informa que não consegue fazer o login no SAP - aparece o erro "Não existe nome SNC"</t>
  </si>
  <si>
    <t>Pastas de rede não abre</t>
  </si>
  <si>
    <t>Pastas de rede não abrem</t>
  </si>
  <si>
    <t>Usuário informa que não consegue abrir suas pastas de rede</t>
  </si>
  <si>
    <t>Ajuda com 1o login</t>
  </si>
  <si>
    <t>Usuário solicita ajuda com o 1o login em sua máquina</t>
  </si>
  <si>
    <t>Alterar owner</t>
  </si>
  <si>
    <t>Alteração de owner</t>
  </si>
  <si>
    <t>Lentidão</t>
  </si>
  <si>
    <t>Lentidão no Windows</t>
  </si>
  <si>
    <t>Usuário informa que seu notebook apresenta lentidão.</t>
  </si>
  <si>
    <t>Configuração do MFA</t>
  </si>
  <si>
    <t>AD Domain Services</t>
  </si>
  <si>
    <t>Usuário solicita ajuda na configuração do MFA</t>
  </si>
  <si>
    <t>Mail Exchange Online O365</t>
  </si>
  <si>
    <t>Mobile Device EMAIL Sync</t>
  </si>
  <si>
    <t>MAC incorreto no MyITPortal</t>
  </si>
  <si>
    <t>Application</t>
  </si>
  <si>
    <t>MyIT</t>
  </si>
  <si>
    <t>Service Catalog</t>
  </si>
  <si>
    <t>Usuário informa que está tentando reinstalar a imagem em seu notebook mas o MAC address está errado. Não é possível a alteração via MyITPortal pois não existe OS ativa. MAC está correto no Netpro.</t>
  </si>
  <si>
    <t>Reset de MFA necessário</t>
  </si>
  <si>
    <t>Reset do MFA</t>
  </si>
  <si>
    <t>Chrome fechando com PKI</t>
  </si>
  <si>
    <t>Chrome fechando</t>
  </si>
  <si>
    <t>Usuário informa que ao utilizar sistemas em que o PKI é necessário o Chrome fecha.</t>
  </si>
  <si>
    <t>Não consegue fazer login</t>
  </si>
  <si>
    <t>Usuário informa que não consegue fazer login em seu computador.</t>
  </si>
  <si>
    <t>Software handling</t>
  </si>
  <si>
    <t>Não imprime</t>
  </si>
  <si>
    <t>Usuário informa que não consegue imprimir.</t>
  </si>
  <si>
    <t>Solicitar acesso adm</t>
  </si>
  <si>
    <t>Acesso adminstrador</t>
  </si>
  <si>
    <t>Usuário solicita ajuda para colocar seu GID como adminstrador de seu equipamento.</t>
  </si>
  <si>
    <t>Backup dos favoritos dos browsers</t>
  </si>
  <si>
    <t>Backup de favoritos dos browsers</t>
  </si>
  <si>
    <t>Usuário solicita ajuda para realizar o backup dos favoritos de seus browsers.</t>
  </si>
  <si>
    <t>Restauração dos favoritos dos browsers</t>
  </si>
  <si>
    <t>Usuário solicita ajuda para realizar a restauração dos favoritos de seus browsers.</t>
  </si>
  <si>
    <t>PST com senha</t>
  </si>
  <si>
    <t>Archiving</t>
  </si>
  <si>
    <t>Usuário informa que ao abrir sua PST é solicitada uma senha que o mesmo desconhece.</t>
  </si>
  <si>
    <t>SCMS com erro de JavaScript</t>
  </si>
  <si>
    <t>Usuário informa que toda vez que faz o login no Windows é apresentado uma mensagem de erro de JavaScript</t>
  </si>
  <si>
    <t>Não consegue atualizar o Windows</t>
  </si>
  <si>
    <t>MS Branch Upgrade</t>
  </si>
  <si>
    <t>Problema com atualização do Windows</t>
  </si>
  <si>
    <t>Usuário informa que ao tentar realizar a atualização do Windows, um erro é apresentado e o processo não é concluído.</t>
  </si>
  <si>
    <t>Certificado não aparece no SCD</t>
  </si>
  <si>
    <t>IT HR Services</t>
  </si>
  <si>
    <t>SCD-Siemens Corporate Directory</t>
  </si>
  <si>
    <t>SCD - Wrong or Missing SCD data</t>
  </si>
  <si>
    <t>Certificado digital não aparece no SCD</t>
  </si>
  <si>
    <t>Usuário informa que o seu certificado digital não aparece no SCD, o que causa problemas diversos.</t>
  </si>
  <si>
    <t>Outlook travando</t>
  </si>
  <si>
    <t>Usuário informa que o seu Outlook trava constantemente.</t>
  </si>
  <si>
    <t>PKI bloqueado</t>
  </si>
  <si>
    <t>Usuário informa que seu PKI está bloqueado e solicita ajuda para o desbloqueio.</t>
  </si>
  <si>
    <t>Não consegue fazer login - Bitlocker Recovery</t>
  </si>
  <si>
    <t>Usuário informa que ao ligar seu computador a senha do Bitlocker não funciona e pede a chave de recuperação.</t>
  </si>
  <si>
    <t>Trocar o PIN do Bitlocker</t>
  </si>
  <si>
    <t>Troca de PIN - Bitlocker</t>
  </si>
  <si>
    <t>Usuário solicita ajuda para trocar a senha do Bitlocker.</t>
  </si>
  <si>
    <t>Fazer backup do histórico do SAP</t>
  </si>
  <si>
    <t>SAP - Local GUI (FCR)</t>
  </si>
  <si>
    <t>Backup do histórico do SAP</t>
  </si>
  <si>
    <t>Usuário solicita ajuda com a criação do backup do histórico do SAP.</t>
  </si>
  <si>
    <t>Backup de arquivos</t>
  </si>
  <si>
    <t>Usuário solicita ajuda para realizar o backup de seus arquivos.</t>
  </si>
  <si>
    <t>Software Center não abre</t>
  </si>
  <si>
    <t>Usuário informou que está com problemas para abrir o Software Center.</t>
  </si>
  <si>
    <t>Não consegue logar no Teams</t>
  </si>
  <si>
    <t>Real Time Collaboration</t>
  </si>
  <si>
    <t>Teams desktop App</t>
  </si>
  <si>
    <t>Usuário informa que não consegue fazer o login no Teams.</t>
  </si>
  <si>
    <t>Importar PST</t>
  </si>
  <si>
    <t>Usuário solicita ajuda para importar os e-mails de suas PSTs para a caixa de entrada.</t>
  </si>
  <si>
    <t>Orientações sobre o OneDrive</t>
  </si>
  <si>
    <t>Usuário solicita ajuda para utilização do OneDrive.</t>
  </si>
  <si>
    <t>Notebook não liga</t>
  </si>
  <si>
    <t>Battery / Power</t>
  </si>
  <si>
    <t>Usuário informa que seu notebook não liga.</t>
  </si>
  <si>
    <t>SAP sem entradas</t>
  </si>
  <si>
    <t>Usuário informa que ao abrir seu SAP não aparece nenhuma entrada.</t>
  </si>
  <si>
    <t>HD externo criptografado</t>
  </si>
  <si>
    <t>Usuário informa que seu HD externo está criptografado e solicita a descriptografia.</t>
  </si>
  <si>
    <t>Não consegue ativar novo PKI - Erro</t>
  </si>
  <si>
    <t>Erro na ativação do PKI</t>
  </si>
  <si>
    <t>Arquivos na rede não sincronizam</t>
  </si>
  <si>
    <t>File Service [AD001]</t>
  </si>
  <si>
    <t>Usuário informa que ao entrar nas pastas de rede que tem acesso só aparecem seus arquivos e que não estão sincronizados.</t>
  </si>
  <si>
    <t>Não consegue trocar a senha</t>
  </si>
  <si>
    <t>Troca de senha.</t>
  </si>
  <si>
    <t>Usuário informa que não consegue trocar sua senha</t>
  </si>
  <si>
    <t>Emails sumiram</t>
  </si>
  <si>
    <t>MAIL items missing / not delivered</t>
  </si>
  <si>
    <t>Emails não aparecem</t>
  </si>
  <si>
    <t>Usuário informa que alguns e-mails não estão mais aparecendo.</t>
  </si>
  <si>
    <t>PSTs não encontradas</t>
  </si>
  <si>
    <t>Usuário informa que ao abrir o Outlook são aparesentados erros informando que há PSTs não encontradas.</t>
  </si>
  <si>
    <t>E-mails não lidos na caixa de entrada</t>
  </si>
  <si>
    <t>Outlook Performance</t>
  </si>
  <si>
    <t>Usuário solicita alterar a visualização dos e-mails da caixa de entrada para que apareça a opção para filtrar apenas mensagens não lidas</t>
  </si>
  <si>
    <t>Tradução não funciona no Outlook</t>
  </si>
  <si>
    <t>Usuário informa que ao tentar utilizar a opção de tradução no Outlook é apresentado um erro no lugar da tradução.</t>
  </si>
  <si>
    <t>OneDrive não aparece após ZTI</t>
  </si>
  <si>
    <t>Initial Setup and Access</t>
  </si>
  <si>
    <t>Usuário informa que ao realizar o 1o login em sua máquina, não consegue encontrar a pasta do OneDrive.</t>
  </si>
  <si>
    <t>Não conecta na rede - certificado expirado</t>
  </si>
  <si>
    <t>Connectivity (WAN)</t>
  </si>
  <si>
    <t>Usuário informa que não consegue conectar na rede wireless nem cabeada da Siemens, o certificado do equipamento está expirado.</t>
  </si>
  <si>
    <t>OneDrive não aparece no SC</t>
  </si>
  <si>
    <t>OneDrive não aparece no Software Center</t>
  </si>
  <si>
    <t>Usuário informa que ao pesquisar pelo OneDrive no Software Center o aplicativo não aparece. Outros aplicativos aparecem normalmente.</t>
  </si>
  <si>
    <t>Ajuda pra fazer o ZTI</t>
  </si>
  <si>
    <t>Ajuda com ZTI</t>
  </si>
  <si>
    <t>Usuário solicita ajuda para iniciar o processo de formatação de seu equipamento.</t>
  </si>
  <si>
    <t>Ajuda para solicitar acesso a pastas de rede</t>
  </si>
  <si>
    <t>Ajuda em pastas de rede</t>
  </si>
  <si>
    <t>Usuário solicita ajuda para solicitar acesso às pastas de rede de seu departamento.</t>
  </si>
  <si>
    <t>E-mails criptografados não abrem</t>
  </si>
  <si>
    <t>MAIL Encryption</t>
  </si>
  <si>
    <t>Ajuda após migração para Accenture</t>
  </si>
  <si>
    <t>Accenture DWP Win 10 Local Client</t>
  </si>
  <si>
    <t>SRM (How to)</t>
  </si>
  <si>
    <t>Usuário solicita ajuda após ter sua máquina migrada da Atos para Accenture.</t>
  </si>
  <si>
    <t>Cabo de rede não funciona</t>
  </si>
  <si>
    <t>Usuário informa que não consegue usar a rede via cabo.</t>
  </si>
  <si>
    <t>Erro ao logar no SAP</t>
  </si>
  <si>
    <t>Usuário informa que ao tentar logar no SAP é apresentada uma mensagem de erro e o login não é possível.</t>
  </si>
  <si>
    <t>Tela azul</t>
  </si>
  <si>
    <t>PC as a service</t>
  </si>
  <si>
    <t>Usuário informa que seu notebook apresenta erro de tela azul intermitentemente.</t>
  </si>
  <si>
    <t>Não consegue configurar o Outlook</t>
  </si>
  <si>
    <t>Usuário informa que não consegue concluir o processo de configuração do Outlook.</t>
  </si>
  <si>
    <t>Perfil temporário no Windows</t>
  </si>
  <si>
    <t>Configurações e arquivos sumiram</t>
  </si>
  <si>
    <t>Usuário informa que ao efetuar o login parece que perdeu todos os seus arquivos e configurações.</t>
  </si>
  <si>
    <t>Não conecta na rede</t>
  </si>
  <si>
    <t>Usuário informa que não consegue conectar na rede da Siemens, tanto pelo cabo quanto pelo Wi-Fi.</t>
  </si>
  <si>
    <t>Intranet não abre</t>
  </si>
  <si>
    <t>Usuário informa que não consegue entrar na intranet da Siemens</t>
  </si>
  <si>
    <t>Solução</t>
  </si>
  <si>
    <t>Resolution notes</t>
  </si>
  <si>
    <t>Resolution code</t>
  </si>
  <si>
    <t>Solution Category</t>
  </si>
  <si>
    <t>Solution SubCategory</t>
  </si>
  <si>
    <t>BIOS resetada</t>
  </si>
  <si>
    <t>BIOS reseted to factory default.</t>
  </si>
  <si>
    <t>Solved&lt;SP&gt;permanently</t>
  </si>
  <si>
    <t>Configuration</t>
  </si>
  <si>
    <t>Restored&lt;SP&gt;Defaults</t>
  </si>
  <si>
    <t>Instalação do Office e logs - sem office</t>
  </si>
  <si>
    <t>Office package was not installed. Installed package and extracted logs for verification by the responsible team.</t>
  </si>
  <si>
    <t>Instalação do Office e logs - com office</t>
  </si>
  <si>
    <t>Office package was already installed. Extracted logs for verification by the responsible team.</t>
  </si>
  <si>
    <t>Exclusão de OS</t>
  </si>
  <si>
    <t>OS deleted and user oriented to requested a new one in MyITPortal.</t>
  </si>
  <si>
    <t>Settings&lt;SP&gt;Modified</t>
  </si>
  <si>
    <t>Defeito no SSD</t>
  </si>
  <si>
    <t>SSD defective, user informed to contact hardware support.</t>
  </si>
  <si>
    <t>Not&lt;SP&gt;Solved&lt;SP&gt;(Not&lt;SP&gt;Possible)</t>
  </si>
  <si>
    <t>1</t>
  </si>
  <si>
    <t>Warranty&lt;SP&gt;Replacement</t>
  </si>
  <si>
    <t>Encaminhado pra Simpress</t>
  </si>
  <si>
    <t>Hardware problem, user oriented to contact Simpress team.</t>
  </si>
  <si>
    <t>Information/Advice&lt;SP&gt;given</t>
  </si>
  <si>
    <t>Service</t>
  </si>
  <si>
    <t>PKI desbloqueado</t>
  </si>
  <si>
    <t>PKI unblocked  (MyPKI site).</t>
  </si>
  <si>
    <t>Security</t>
  </si>
  <si>
    <t>Permissions Restored</t>
  </si>
  <si>
    <t>PKI ativado</t>
  </si>
  <si>
    <t>PKI activated  (MyPKI site).</t>
  </si>
  <si>
    <t>Lan Crypt atualizado</t>
  </si>
  <si>
    <t>Lan Crypt update with external package;
Changed in appwiz the Driver option to Minifilter.</t>
  </si>
  <si>
    <t>2</t>
  </si>
  <si>
    <t>Update</t>
  </si>
  <si>
    <t>Reconectado a rede</t>
  </si>
  <si>
    <t>Client has been connected to network.</t>
  </si>
  <si>
    <t>Crachá será trocado</t>
  </si>
  <si>
    <t>PKI card was made with errors, new card will be send to user and activated by him.</t>
  </si>
  <si>
    <t>Remediation</t>
  </si>
  <si>
    <t>Orientações com ZTI</t>
  </si>
  <si>
    <t>User oriented, ZTI done successfully.</t>
  </si>
  <si>
    <t>Exclusão de OS e alteração de owner</t>
  </si>
  <si>
    <t>Owner changed to requester user, additional OS deleted and a new one OS was requested in MyITPortal.</t>
  </si>
  <si>
    <t>Rekey PKI token done successfully.</t>
  </si>
  <si>
    <t>Driver do leitor PKI reinstalado</t>
  </si>
  <si>
    <t>PKI reader driver has been reinstalled and PKI software restarted.</t>
  </si>
  <si>
    <t>Password has been reseted successfully.</t>
  </si>
  <si>
    <t>Criação de OS</t>
  </si>
  <si>
    <t>New OS has been created and performed ZTI.</t>
  </si>
  <si>
    <t>Troca de notebook - Software</t>
  </si>
  <si>
    <t>The device was replaced.</t>
  </si>
  <si>
    <t>Non-Warranty&lt;SP&gt;Replacement</t>
  </si>
  <si>
    <t>Problema já está resolvido</t>
  </si>
  <si>
    <t>User reported that the problem is already resolved.</t>
  </si>
  <si>
    <t>ZTI</t>
  </si>
  <si>
    <t>Performed ZTI.</t>
  </si>
  <si>
    <t>Arquivos do HD recuperados com pendrive</t>
  </si>
  <si>
    <t>HD files were recovered with a bootable pendrive.</t>
  </si>
  <si>
    <t>Cadastro excluído pelos gringos</t>
  </si>
  <si>
    <t>All notebook data was deleted and recreated by responsible team.</t>
  </si>
  <si>
    <t>Logs enviadas pros gringos</t>
  </si>
  <si>
    <t>All settings are ok in Netpro but the ZTI process is still having problems to start. User oriented to collect logs and send to responsible team.</t>
  </si>
  <si>
    <t>MAC alterado</t>
  </si>
  <si>
    <t>MAC address changed to correct.</t>
  </si>
  <si>
    <t>Microfone habilitado em privacidade</t>
  </si>
  <si>
    <t>Microphone has been enabled in privacy settings.</t>
  </si>
  <si>
    <t>Chave de recuperação do Bitlocker informada</t>
  </si>
  <si>
    <t>Bitlocker recovery key informed to user.</t>
  </si>
  <si>
    <t>Software instalado pelo SC</t>
  </si>
  <si>
    <t>Software successfully installed through Software Center.</t>
  </si>
  <si>
    <t>FN hotkeys desativado na BIOS</t>
  </si>
  <si>
    <t>FN hotkeys by default disabled in BIOS</t>
  </si>
  <si>
    <t>Encaminhado para Outlook Web</t>
  </si>
  <si>
    <t>Outlook web problem, ticket INC13700248 was sent to responsible team.</t>
  </si>
  <si>
    <t>MFA configurado</t>
  </si>
  <si>
    <t>MFA configured.</t>
  </si>
  <si>
    <t>Caixa de emails compartilhada configurada</t>
  </si>
  <si>
    <t>Shared mailbox configured in Outlook successfully.</t>
  </si>
  <si>
    <t>Sincronização offline desativada</t>
  </si>
  <si>
    <t>Offline Sync was disabled.</t>
  </si>
  <si>
    <t>Crachá danificado</t>
  </si>
  <si>
    <t>Defective PKI card, user oriented to request a new one.</t>
  </si>
  <si>
    <t>Troca de notebook - Hardware</t>
  </si>
  <si>
    <t>Defective hardware, the device was replaced by Simpress team</t>
  </si>
  <si>
    <t>OS reativada e conectado na Siemens</t>
  </si>
  <si>
    <t>Retirada de DNS e reativação da placa de rede</t>
  </si>
  <si>
    <t>DNS of the wireless network card was changed to automatic and wired network card was reactivated.</t>
  </si>
  <si>
    <t>Senha do adm local trocada</t>
  </si>
  <si>
    <t>Admin local password changed by user.</t>
  </si>
  <si>
    <t>Chamado encaminhado para a equipe responsável</t>
  </si>
  <si>
    <t>The ticket #ticket has been opened and sent to responsible team to verify the problem.</t>
  </si>
  <si>
    <t>Atalhos de rede refeitos</t>
  </si>
  <si>
    <t>Remade shortcuts in Quick Access of Explorer.</t>
  </si>
  <si>
    <t xml:space="preserve">Limpar o cache </t>
  </si>
  <si>
    <t>Cache cleaned and software restarted.</t>
  </si>
  <si>
    <t>Configurações solicitadas feitas</t>
  </si>
  <si>
    <t>Settings made as requested.</t>
  </si>
  <si>
    <t>OS ativada</t>
  </si>
  <si>
    <t>OS was activated in Netpro.</t>
  </si>
  <si>
    <t>#Software reiniciado</t>
  </si>
  <si>
    <t>#Software restarted.</t>
  </si>
  <si>
    <t>Técnico está atendendo pessoalmente</t>
  </si>
  <si>
    <t>User informs that he is being assisted by an on-site technician.</t>
  </si>
  <si>
    <t>OS e IP adicionais excluídos</t>
  </si>
  <si>
    <t>Additional OS and IP deleted.</t>
  </si>
  <si>
    <t>Conectado a rede correta</t>
  </si>
  <si>
    <t xml:space="preserve">Notebook connected to correct network. </t>
  </si>
  <si>
    <t>OS antiga deletada e limpeza de base de dados - ZTI</t>
  </si>
  <si>
    <t>Old OS deleted, database cleanup and new setup task for reinstallation was created by ZTI team.</t>
  </si>
  <si>
    <t>Task solicitada</t>
  </si>
  <si>
    <t>New task requested.</t>
  </si>
  <si>
    <t>OS reativada e feito ZTI</t>
  </si>
  <si>
    <t>OS reactivated and performed ZTI.</t>
  </si>
  <si>
    <t>Limpar o cache e testar no Edge</t>
  </si>
  <si>
    <t>Cache cleaned and started Edge, Chrome is working again.</t>
  </si>
  <si>
    <t>Certificado expirado - ZTI</t>
  </si>
  <si>
    <t>The machine certificate was expired. User oriented to perform ZTI.</t>
  </si>
  <si>
    <t>Computador reiniciado</t>
  </si>
  <si>
    <t>Windows restarted.</t>
  </si>
  <si>
    <t>Driver do SC instalado</t>
  </si>
  <si>
    <t>Printer driver in Software Center installed.</t>
  </si>
  <si>
    <t>MAC bypass</t>
  </si>
  <si>
    <t>Network authentication changed to MAC Bypass, ZTI started sucessfully.</t>
  </si>
  <si>
    <t>Acesso adm solicitado</t>
  </si>
  <si>
    <t>Admin access requested in MyITPortal.</t>
  </si>
  <si>
    <t>Sem hotfix, feito ZTI</t>
  </si>
  <si>
    <t>Is not possible to install mandatory hotfix, ZTI performed.</t>
  </si>
  <si>
    <t>OS alterada de new para ativada</t>
  </si>
  <si>
    <t>OS status changed from "New" to "Active".</t>
  </si>
  <si>
    <t>Backup feito</t>
  </si>
  <si>
    <t>Backup done successfully.</t>
  </si>
  <si>
    <t>Restauração dos favoritos feita</t>
  </si>
  <si>
    <t>Restore done succesfully.</t>
  </si>
  <si>
    <t>Lembrou a Senha da PST</t>
  </si>
  <si>
    <t>User remembered PST password.</t>
  </si>
  <si>
    <t>Card OS estava fechado.</t>
  </si>
  <si>
    <t>Card OS app was not started. Device restarted, problem solved.</t>
  </si>
  <si>
    <t>Executado instalador do SCMS</t>
  </si>
  <si>
    <t>Run as adminstrator the file installer.exe in AppData\Local\scms-updater.</t>
  </si>
  <si>
    <t>Executadas outras atualizações do SO antes do update do Windows</t>
  </si>
  <si>
    <t>Client restarted a few times to do other pending updates before start Windows Branch update.</t>
  </si>
  <si>
    <t>PSTs movidas para o disco C</t>
  </si>
  <si>
    <t>Oriented to move your PSTs files from network drive to local drive, remap the files and oriented to import PSTs to Mailbox.</t>
  </si>
  <si>
    <t>Chave de recuperação do Bitlocker inserida</t>
  </si>
  <si>
    <t>Bitlocker recovery key inserted.</t>
  </si>
  <si>
    <t>PIN do Bitlocker trocado</t>
  </si>
  <si>
    <t>PIN changed in UCMS.</t>
  </si>
  <si>
    <t>Site fora</t>
  </si>
  <si>
    <t>Site was down. User oriented to try again soon.</t>
  </si>
  <si>
    <t>Executadas outras atualizações do SO antes da instalação do software</t>
  </si>
  <si>
    <t>Client restarted a few times to do other pending updates before start app installation.</t>
  </si>
  <si>
    <t>Informado PIN do Bitlocker e trocada a senha</t>
  </si>
  <si>
    <t>Bitlocker recovery key informed to user and PIN changed.</t>
  </si>
  <si>
    <t>Software Center reparado</t>
  </si>
  <si>
    <t>Software Center repaired.</t>
  </si>
  <si>
    <t>Desconectada uma conta e conectada outra</t>
  </si>
  <si>
    <t>The user logged out of their corporate account and then logged in with their Siemens account.</t>
  </si>
  <si>
    <t>Alterado de IP fixo para DHCP</t>
  </si>
  <si>
    <t>Network card options changed from fixed IP to DHCP.</t>
  </si>
  <si>
    <t>PSTs importadas</t>
  </si>
  <si>
    <t>E-mails imported successfully.</t>
  </si>
  <si>
    <t>Erro de digitação</t>
  </si>
  <si>
    <t>Typing error</t>
  </si>
  <si>
    <t>Usuário orientado</t>
  </si>
  <si>
    <t>User oriented.</t>
  </si>
  <si>
    <t>Não é o dono, orientado a solicitar o acesso adm ao dono</t>
  </si>
  <si>
    <t>User is not the computer owner, oriented to contact owner and request admin access.</t>
  </si>
  <si>
    <t>HD externo descriptografado</t>
  </si>
  <si>
    <t>External HD decrypted using Bitlocker Recovery Key.</t>
  </si>
  <si>
    <t>Windows Sync desativado</t>
  </si>
  <si>
    <t>Windows Sync disabled.</t>
  </si>
  <si>
    <t>Tentar na Siemens ou formatar</t>
  </si>
  <si>
    <t>User oriented to try update the client on Siemens site and, if it not solve the problem, perform ZTI.</t>
  </si>
  <si>
    <t>Login como adm e login no syncPassword</t>
  </si>
  <si>
    <t>Logged in as local administrator and run the syncPassword application.</t>
  </si>
  <si>
    <t>Senha trocada pelo https://passwordchanger.siemens.net/</t>
  </si>
  <si>
    <t>User oriented to change password in https://passwordchanger.siemens.net/.</t>
  </si>
  <si>
    <t>Abrir outro ticket para verificação de outra equipe</t>
  </si>
  <si>
    <t>User oriented to open a new incident to responsible team verify the problem.</t>
  </si>
  <si>
    <t>PSTs fechadas</t>
  </si>
  <si>
    <t>PSTs files was closed.</t>
  </si>
  <si>
    <t>Erro no SCCM</t>
  </si>
  <si>
    <t>SCCM service was down, service was re-established by responsible team.</t>
  </si>
  <si>
    <t>Desativada Caixa de Entrada Prioritários</t>
  </si>
  <si>
    <t>Disabled the Show Priority Inbox option.</t>
  </si>
  <si>
    <t>Serviço reestabelecido</t>
  </si>
  <si>
    <t>Service re-established.</t>
  </si>
  <si>
    <t>Alterado idioma do navegador</t>
  </si>
  <si>
    <t>Browser language changed.</t>
  </si>
  <si>
    <t>OneDrive instalado pelo SC e atalho executado.</t>
  </si>
  <si>
    <t>OneDrive of Software Center was installed and OneDrive first launch shortcut was executed.</t>
  </si>
  <si>
    <t>Branch update feito</t>
  </si>
  <si>
    <t>Branch update done sucessfully.</t>
  </si>
  <si>
    <t>Branch update offline</t>
  </si>
  <si>
    <t>Branch update using offline files done sucessfully.</t>
  </si>
  <si>
    <t>GPUPDATE e aguardar algumas horas</t>
  </si>
  <si>
    <t>Run gpupdate command and user oriented to wait a few hours and try again.</t>
  </si>
  <si>
    <t>Placa de rede reativada</t>
  </si>
  <si>
    <t>Network card reactivated.</t>
  </si>
  <si>
    <t>Logar em cache</t>
  </si>
  <si>
    <t>User oriented to turn off all networks and log in normally.</t>
  </si>
  <si>
    <t>Software configurado</t>
  </si>
  <si>
    <t>Software configured sucessfully.</t>
  </si>
  <si>
    <t>User does not have an e-mail registered in MyITPortal. User oriented to contact your manager and check if an email was requested for him.</t>
  </si>
  <si>
    <t>Zscaler reinstalado</t>
  </si>
  <si>
    <t>Zscaler unninstalled, cleaned registry and Zscaler installed.</t>
  </si>
  <si>
    <t>MFA reseted.</t>
  </si>
  <si>
    <t>Sem problemas</t>
  </si>
  <si>
    <t>There were no problems when analyzed.</t>
  </si>
  <si>
    <t>Android defasado</t>
  </si>
  <si>
    <t>The Android version of the device is outdated, user oriented to contact the corporate mobility team and request a newer smartphone.</t>
  </si>
  <si>
    <t>Nome</t>
  </si>
  <si>
    <t>Código</t>
  </si>
  <si>
    <t>%93f2c6640f26210058d8ded0f1050e12</t>
  </si>
  <si>
    <t>%a3f2c6640f26210058d8ded0f1050e1b</t>
  </si>
  <si>
    <t>%6145e363db1c3b007f4f5b06ca9619b4</t>
  </si>
  <si>
    <t>%aff2c6640f26210058d8ded0f1050e18</t>
  </si>
  <si>
    <t>%b1e171520ff1b204fc37ded0f1050eae</t>
  </si>
  <si>
    <t>%fabe66cb0ffe3a00cd6eded0f1050e6e</t>
  </si>
  <si>
    <t>%ebf2c6640f26210058d8ded0f1050e1b</t>
  </si>
  <si>
    <t>%2bf2c6640f26210058d8ded0f1050e1b</t>
  </si>
  <si>
    <t>%6bf2c6640f26210058d8ded0f1050e17</t>
  </si>
  <si>
    <t>%af6148670fb42e440010c1cce1050ed0</t>
  </si>
  <si>
    <t>%8e2348eb0fb42e440010c1cce1050efb</t>
  </si>
  <si>
    <t>%e7f2c6640f26210058d8ded0f1050e18</t>
  </si>
  <si>
    <t>%6ff2c6640f26210058d8ded0f1050e18</t>
  </si>
  <si>
    <t>%790cd201dbdf73808f71e6ab0b961996</t>
  </si>
  <si>
    <t>%8f8e62cb0ffe3a00cd6eded0f1050e6b</t>
  </si>
  <si>
    <t>%1f04636bdbd83b007f4f5b06ca96196a</t>
  </si>
  <si>
    <t>%dff2c6640f26210058d8ded0f1050e12</t>
  </si>
  <si>
    <t>%df130275db2f6f001523e6ab0b961944</t>
  </si>
  <si>
    <t>%1b60a29edbe49090baaee7ba48961940</t>
  </si>
  <si>
    <t>%cc8d67f9dbda2fc01523e6ab0b961911</t>
  </si>
  <si>
    <t>%416ac46fdb032fcc1523e6ab0b9619f2</t>
  </si>
  <si>
    <t>%6bf2c6640f26210058d8ded0f1050e18</t>
  </si>
  <si>
    <t>%13f2c6640f26210058d8ded0f1050e16</t>
  </si>
  <si>
    <t>%93f2c6640f26210058d8ded0f1050e16</t>
  </si>
  <si>
    <t>%17f2c6640f26210058d8ded0f1050e16</t>
  </si>
  <si>
    <t>%67ed23bddbda2fc01523e6ab0b96195d</t>
  </si>
  <si>
    <t>%cd5e668b0ffe3a00cd6eded0f1050ed5</t>
  </si>
  <si>
    <t>%23f2c6640f26210058d8ded0f1050e17</t>
  </si>
  <si>
    <t>%0e2caaff0f42f1002294c1cce1050ed7</t>
  </si>
  <si>
    <t>%111e9a3c0f9e82006bdcb47ce1050e03</t>
  </si>
  <si>
    <t>%97f2c6640f26210058d8ded0f1050e15</t>
  </si>
  <si>
    <t>%e9942fe30f793100bad9ded0f1050e3a</t>
  </si>
  <si>
    <t>%250d26ecdb6e08140b68772b68961965</t>
  </si>
  <si>
    <t>%559fb0dc0f927500bad9ded0f1050e9f</t>
  </si>
  <si>
    <t>%ea30dfeddbf2801c22b9e7ba489619a2</t>
  </si>
  <si>
    <t>%42409721db36801c22b9e7ba489619b2</t>
  </si>
  <si>
    <t>%118181180f1871006bdcb47ce1050e07</t>
  </si>
  <si>
    <t>%28e105180f1871006bdcb47ce1050ea0</t>
  </si>
  <si>
    <t>%4992c5180f1871006bdcb47ce1050e90</t>
  </si>
  <si>
    <t>%02f280eb0fb42e440010c1cce1050e58</t>
  </si>
  <si>
    <t>%8f305321db36801c22b9e7ba48961993</t>
  </si>
  <si>
    <t>%0cf2f8111beae81471ed620ee54bcb16</t>
  </si>
  <si>
    <t>%417584570f44cb042505b37ce1050e79</t>
  </si>
  <si>
    <t>%ef7a4cdb0f44cb042505b37ce1050ebe</t>
  </si>
  <si>
    <t>%e75d1371dbf387000bbbe6ab0b961917</t>
  </si>
  <si>
    <t>%1c42c4f60fc0c600bad9ded0f1050e39</t>
  </si>
  <si>
    <t>%53f2c6640f26210058d8ded0f1050e15</t>
  </si>
  <si>
    <t>%7112518edb97405038a1e7ba489619f8</t>
  </si>
  <si>
    <t>%b36fd8bedb6fd300eb568dba4b961972</t>
  </si>
  <si>
    <t>%23f2c6640f26210058d8ded0f1050e1b</t>
  </si>
  <si>
    <t>%2d405721db36801c22b9e7ba48961989</t>
  </si>
  <si>
    <t>%36405b21db36801c22b9e7ba48961930</t>
  </si>
  <si>
    <t>%8390a2dedbe49090baaee7ba489619e8</t>
  </si>
  <si>
    <t>%2e30e2bc0f9e82006bdcb47ce1050e5c</t>
  </si>
  <si>
    <t>%e440d321db36801c22b9e7ba489619c3</t>
  </si>
  <si>
    <t>%28f42672db287fc07f4f5b06ca961979</t>
  </si>
  <si>
    <t>%b8fffd4a0fbd0200b4d0b37ce1050efc</t>
  </si>
  <si>
    <t>Alterar painel de leitura do Outlook</t>
  </si>
  <si>
    <t>Alterar painel de leitura Outlook</t>
  </si>
  <si>
    <t>Usuário solicita alterar a visualização do painel de leitura do Outlook.</t>
  </si>
  <si>
    <t>Painel de leitura do Outlook alterado</t>
  </si>
  <si>
    <t>Outlook reading panel configured.</t>
  </si>
  <si>
    <t>Rede Guest configurada</t>
  </si>
  <si>
    <t>Guest network configured.</t>
  </si>
  <si>
    <t>Equipamento trocado - PC Refresh</t>
  </si>
  <si>
    <t>The device was replaced (PC Refresh).</t>
  </si>
  <si>
    <t>Não aparecem eventos no calendário</t>
  </si>
  <si>
    <t>Usuário informa que os eventos não aparecem no calendário do Outlook.</t>
  </si>
  <si>
    <t>Orientada a aguardar</t>
  </si>
  <si>
    <t>User oriented to wait.</t>
  </si>
  <si>
    <t>BIOS atualizada</t>
  </si>
  <si>
    <t>BIOS updated.</t>
  </si>
  <si>
    <t>Gestor solicitar e-mail</t>
  </si>
  <si>
    <t>Notebook sem som</t>
  </si>
  <si>
    <t>Não sai som no notebook</t>
  </si>
  <si>
    <t>Usuário informa que não está saindo som de seu notebook.</t>
  </si>
  <si>
    <t>Ajuda dada</t>
  </si>
  <si>
    <t>Help given.</t>
  </si>
  <si>
    <t>Chave vermelha no Lan Crypt</t>
  </si>
  <si>
    <t>Usuário informa que não consegue abrir suas pastas de rede criptografadas, o ícone do Lan Crypt fica vermelho.</t>
  </si>
  <si>
    <t>Máquina desliga sozinha</t>
  </si>
  <si>
    <t>Máquina desligando sozinha</t>
  </si>
  <si>
    <t>Usuário informa que seu equipamento está desligando sozinho.</t>
  </si>
  <si>
    <t>Trocar e-mail</t>
  </si>
  <si>
    <t>Trocar endereço de e-mail</t>
  </si>
  <si>
    <t>Usuário solicita ajuda para trocar seu endereço de e-mail.</t>
  </si>
  <si>
    <t>%09509f21db36801c22b9e7ba489619a0</t>
  </si>
  <si>
    <t>Various: Category not found</t>
  </si>
  <si>
    <t>AskHR</t>
  </si>
  <si>
    <t>User oriented to contact AskHR.</t>
  </si>
  <si>
    <t>Configurar PingID</t>
  </si>
  <si>
    <t>%58a36455db963b0c0abc5b06ca9619c2</t>
  </si>
  <si>
    <t>MyID</t>
  </si>
  <si>
    <t>%305728d1db1a3b0c0abc5b06ca961907</t>
  </si>
  <si>
    <t>PingID Problems</t>
  </si>
  <si>
    <t>Usuário solicita ajuda para configurar o PingID em seu celular.</t>
  </si>
  <si>
    <t>Usuário não consegue utilizar o MFA. Ao entrar em algum site em que a autenticação é necessária, é solicitado o token mas o seu celular não está com o Microsoft Authenticator configurado. Necessário o reset do MFA</t>
  </si>
  <si>
    <t>Defeito físico</t>
  </si>
  <si>
    <t>Physical defect, user informed to contact hardware support.</t>
  </si>
  <si>
    <t>Usuário informa que ao efetuar o 1o login em seu computador com outro usuário são apresentadas diversas mensagens de erro.</t>
  </si>
  <si>
    <t>Mensagens de erro fechadas</t>
  </si>
  <si>
    <t>Error messages closed, user logged in successfully.</t>
  </si>
  <si>
    <t>Senha incorreta</t>
  </si>
  <si>
    <t>User was entering the wrong password, entered the correct password and was able to login successfully.</t>
  </si>
  <si>
    <t>SAP caindo</t>
  </si>
  <si>
    <t>Usuário informa que ao utilizar o SAP o mesmo cai a conexão esporadicamente. Tentou em diversas redes, mesmo problema.</t>
  </si>
  <si>
    <t>Zscaler aberto</t>
  </si>
  <si>
    <t>Zscaler opened.</t>
  </si>
  <si>
    <t>Aplicativos resetados e Teams configurado</t>
  </si>
  <si>
    <t>Apps config was reseted and Teams configured.</t>
  </si>
  <si>
    <t>Perfil Energy em máquina de usuário Infra</t>
  </si>
  <si>
    <t>Usuário informa que estão aparecendo informações da Energy em seu computador, mas ela é da infra.</t>
  </si>
  <si>
    <t>Owner changed to user and performed ZTI.</t>
  </si>
  <si>
    <t>Cliente transferido para o usuário e feito ZTI</t>
  </si>
  <si>
    <t>PingID configurado</t>
  </si>
  <si>
    <t>PingID configured.</t>
  </si>
  <si>
    <t>Cache limpada e efetuada nova tentativa conectado na rede Siemens</t>
  </si>
  <si>
    <t>Cache cleared and retry connected to Siemens network.</t>
  </si>
  <si>
    <t>Pastas de rede mapeadas.</t>
  </si>
  <si>
    <t>Mapped network folders.</t>
  </si>
  <si>
    <t>z004f0cr</t>
  </si>
  <si>
    <t>Não consegue abrir o Sharp</t>
  </si>
  <si>
    <t>%b191f88c0f521e0097fcb47ce1050e65</t>
  </si>
  <si>
    <t>Access Issue</t>
  </si>
  <si>
    <t>Usuário informa que não consegue abrir o Sharp.</t>
  </si>
  <si>
    <t>Usuário orientado a abrir chamado no SD</t>
  </si>
  <si>
    <t>User oriented to call Service Desk to open a ticket to verify this problem.</t>
  </si>
  <si>
    <t>Teclas alteradas</t>
  </si>
  <si>
    <t>Desabilitado num lock e alterado o idioma do teclado para pt-br</t>
  </si>
  <si>
    <t>Num lock disabled and keyboard language changed to PT-BR.</t>
  </si>
  <si>
    <t>Sem espaço disponível</t>
  </si>
  <si>
    <t>There is no free space available on the SSD, user oriented to clean up their files.</t>
  </si>
  <si>
    <t>Máquina Accenture, ligar no SD</t>
  </si>
  <si>
    <t>Accenture client, user oriented to contact Service Desk.</t>
  </si>
  <si>
    <t>Teams e Outlook configurados</t>
  </si>
  <si>
    <t>Apps configured.</t>
  </si>
  <si>
    <t>%ebf2c6640f26210058d8ded0f1050e18</t>
  </si>
  <si>
    <t>AD Account</t>
  </si>
  <si>
    <t>Conectado ao cabo de rede</t>
  </si>
  <si>
    <t>Device conected to network cable.</t>
  </si>
  <si>
    <t>MobileIT</t>
  </si>
  <si>
    <t>Android</t>
  </si>
  <si>
    <t>%1ff2c6640f26210058d8ded0f1050e14</t>
  </si>
  <si>
    <t>#App não funciona no celular</t>
  </si>
  <si>
    <t>Usuário informa que o #App não funciona em seu celular.</t>
  </si>
  <si>
    <t>Aplicativo reinstalado</t>
  </si>
  <si>
    <t>App reinstalled.</t>
  </si>
  <si>
    <t>%5ff2c6640f26210058d8ded0f1050e14</t>
  </si>
  <si>
    <t>Win + B + Power buttons pressed simultaneously for 1 min.</t>
  </si>
  <si>
    <t>Botão Win + B + Power</t>
  </si>
  <si>
    <t>Admin Account AD</t>
  </si>
  <si>
    <t>%647057fc0f12c2006bdcb47ce1050e0b</t>
  </si>
  <si>
    <t>Ajuda para utilizar webmail</t>
  </si>
  <si>
    <t>%07409b21db36801c22b9e7ba48961922</t>
  </si>
  <si>
    <t>Outlook Web Access (OWA)</t>
  </si>
  <si>
    <t>Usuário solicita ajuda para utilizar o webmail.</t>
  </si>
  <si>
    <t>Orientado a abrir chamado no SHARP - SHS</t>
  </si>
  <si>
    <t>User oriented to open a new incident in SHARP or call Service Desk.</t>
  </si>
  <si>
    <t>Usuário informa que não consegue abrir e/ou enviar e-mails criptografados em seu Outlook.</t>
  </si>
  <si>
    <t>E-mails criptografados não abrem/enviam</t>
  </si>
  <si>
    <t>Certificado carregado nas opções de segurança do Outlook</t>
  </si>
  <si>
    <t>Certificate loaded in Outlook Security Options.</t>
  </si>
  <si>
    <t>Dada ajuda para criar primeira senha</t>
  </si>
  <si>
    <t>User oriented how to create your first Windows password.</t>
  </si>
  <si>
    <t>Usuário solicita ajuda para realizar a 1a configuração do OneDrive.</t>
  </si>
  <si>
    <t>Configuração do Bitlocker</t>
  </si>
  <si>
    <t>Usuário solicita ajuda para configurar o Bitlocker em seu equipamento.</t>
  </si>
  <si>
    <t>Orientado a escolher o certificado correto</t>
  </si>
  <si>
    <t>User oriented how to choose the correct certificate in SAP Secure Login.</t>
  </si>
  <si>
    <t>Credenciais do Windows salvas removidas</t>
  </si>
  <si>
    <t>Removed saved Windows credentials and restarted Windows.</t>
  </si>
  <si>
    <t>Alterar celular no SCD</t>
  </si>
  <si>
    <t>Usuário solicita ajuda para alterar o celular cadastrado no SCD.</t>
  </si>
  <si>
    <t>IMPORTANT: DO NOT DELETE ANY TEXT BELOW, JUST ADD RELEVANT ANSWERS!!!
Fill in ONLY if Issue is NOT SOLVED &amp; ticket needs to be dispatched (Otherwise skip): 
UCMS logfile attached, see KB0014119? (YES/NO): no</t>
  </si>
  <si>
    <t>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t>
  </si>
  <si>
    <t>IMPORTANT: DO NOT DELETE ANY TEXT BELOW, JUST ADD RELEVANT ANSWERS !!!
Affected GID or email:
URL of Application (if applicable): none
For email issues, use category: Collaboration / Mail Exchange Online 0365 / LTE in SCD
For users located on India or China who need to change/update SCD data, use category: Support / Service Request / SCD / GID
For SCD Certificate issues, use category:  Security and Access / PKI Services - Trustcenter / PKI-others</t>
  </si>
  <si>
    <t>Reinstalados os plugins de banco</t>
  </si>
  <si>
    <t>Bank plugin reinstalled.</t>
  </si>
  <si>
    <t>IMPORTANT: DO NOT DELETE ANY TEXT BELOW, JUST ADD RELEVANT ANSWERS!!!
I - Fill in ONLY if issue is SOLVED directly &amp; no dispatch of the ticket is needed (otherwise go to point II):
Confirm with "YES" that:
- followed Knowledge Article is ATTACHED to the ticket: 
- User confirmed issue is solved: yes
**********************************************************************
II - Fill in ONLY if issue is NOT SOLVED &amp; ticket needs to be dispatched (otherwise skip):
BASIC DATA FOR ANY PINGID/ OTP SMS AUTHENTICATION related issues:
- Error message:
CONFIRM WITH "YES":
- PingID/ OTP SMS already activated:
- Relevant Knowledge Article is ATTACHED to the ticket:</t>
  </si>
  <si>
    <t>Erro ao abrir link do OneDrive</t>
  </si>
  <si>
    <t>Usuário não consegue abrir link compartilhado do OneDrive recebido pelo Outlook.</t>
  </si>
  <si>
    <t>Erro ao abrir link de compartilhamento do OneDrive</t>
  </si>
  <si>
    <t>Edge não abre, link aberto no Chrome</t>
  </si>
  <si>
    <t>Edge don't open this link, link opened in Chrome successfully.</t>
  </si>
  <si>
    <t>IMPORTANT: DO NOT DELETE ANY TEXT BELOW, JUST ADD RELEVANT ANSWERS !!!
Has OneDrive being reset? (YES/NO): no
At which steps of KB/TS it failed:
Troubleshooting steps performed:</t>
  </si>
  <si>
    <t>Backup de e-mails</t>
  </si>
  <si>
    <t>Usuário solicita ajuda para realizar o backup de seus e-mails.</t>
  </si>
  <si>
    <t>IMPORTANT: DO NOT DELETE ANY TEXT BELOW, JUST ADD RELEVANT ANSWERS !!!
Is it working from OWA? (YES/NO):
Affected e-mail/s or mailboxes:
OS Version, see KB0130614:
Outlook Version, see KB0019722:
Type of Network connection (e.g. Office LAN, Home Office): all</t>
  </si>
  <si>
    <t>Criada PST</t>
  </si>
  <si>
    <t>PST file created and e-mails moved to it.</t>
  </si>
  <si>
    <t>IMPORTANT: DO NOT DELETE ANY TEXT BELOW, JUST ADD RELEVANT ANSWERS!!!
Fill in ONLY if Issue is NOT SOLVED &amp; ticket needs to be dispatched (Otherwise skip): 
UCMS logfile attached, see KB0014119 (YES/NO): no</t>
  </si>
  <si>
    <t>Backup do celular</t>
  </si>
  <si>
    <t>Usuário solicita ajuda para realizar o backup de seu celular corporativo.</t>
  </si>
  <si>
    <t>Transferência de dados entre celulares</t>
  </si>
  <si>
    <t>Usuário solicita ajuda pra transferir seus dados de seu celular para um outro.</t>
  </si>
  <si>
    <t>Login no Portal da Empresa</t>
  </si>
  <si>
    <t>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t>
  </si>
  <si>
    <t>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t>
  </si>
  <si>
    <t>Android atualizado</t>
  </si>
  <si>
    <t>Android has been updated.</t>
  </si>
  <si>
    <t>OS was reactivated and gpupdate executed conected to Zscaler.</t>
  </si>
  <si>
    <t>Sem acesso ao My Learning</t>
  </si>
  <si>
    <t>MyLearning Saba</t>
  </si>
  <si>
    <t>User advice</t>
  </si>
  <si>
    <t>%61cfb11fdbae77cc8f71e6ab0b9619f2</t>
  </si>
  <si>
    <t>%623dbdcf1b4d281094d6859fe54bcb45</t>
  </si>
  <si>
    <t>Usuário informa que não consegue acessar o My Learning.</t>
  </si>
  <si>
    <t>Chamado aberto no MyITPortal</t>
  </si>
  <si>
    <t>Ticket opened in MyITPortal.</t>
  </si>
  <si>
    <t>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t>
  </si>
  <si>
    <t>Usuário solicita ajuda para configurar a rede Guest em seu dispositivo.</t>
  </si>
  <si>
    <t>Configuração rede guest</t>
  </si>
  <si>
    <t>Erros ao entrar com novo perfil</t>
  </si>
  <si>
    <t>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t>
  </si>
  <si>
    <t>Instalar Teams e Outlook no dispositivo móvel</t>
  </si>
  <si>
    <t>Instalação de Teams e Outlook no dispositivo móvel</t>
  </si>
  <si>
    <t>Usuário solicita ajuda para configurar Teams e Outlook em seu dispositivo móvel.</t>
  </si>
  <si>
    <t>Não foi possível</t>
  </si>
  <si>
    <t>It was not possible</t>
  </si>
  <si>
    <t>IMPORTANT: DO NOT DELETE ANY TEXT BELOW, JUST ADD RELEVANT ANSWERS!!!
Fill in for 20H2 rollback request (Otherwise skip): 
Client name:
Device Mac address: 
Reason why 20H2 rollback is required: not required</t>
  </si>
  <si>
    <t>Mapear drive de rede</t>
  </si>
  <si>
    <t>Usuário solicita ajuda para mapear drives de rede.</t>
  </si>
  <si>
    <t>%93b9a839db2db7800abc5b06ca9619ba</t>
  </si>
  <si>
    <t>Drive de rede mapeado</t>
  </si>
  <si>
    <t>Mapped network drive.</t>
  </si>
  <si>
    <t>Não consegue assinar documentos PDF</t>
  </si>
  <si>
    <t>Usuário informa que não consegue assinar documentos PDF.</t>
  </si>
  <si>
    <t>Certificado do PKI Expirado</t>
  </si>
  <si>
    <t>PKI certificate expired, user oriented to request a new corporate card.</t>
  </si>
  <si>
    <t>Usuário informa que não consegue ativar seu cartão com PKI, é informado um erro.</t>
  </si>
  <si>
    <t>Problema geral, responsável reportado</t>
  </si>
  <si>
    <t>Geral problem, reported to responsible team.</t>
  </si>
  <si>
    <t>Regras de segurança configuradas</t>
  </si>
  <si>
    <t>Security settings rules configured.</t>
  </si>
  <si>
    <t>Não consegue abrir um link</t>
  </si>
  <si>
    <t>Usuário informa que não consegue abrir um link da intranet / internet específico.</t>
  </si>
  <si>
    <t>Link aberto no Edge</t>
  </si>
  <si>
    <t>Chrome don't open this link, link opened in Edge successfully.</t>
  </si>
  <si>
    <t>Ajuda para transferir conta Industria - SHS</t>
  </si>
  <si>
    <t>Usuário solicita ajuda para transferir sua conta e seus acessos da Indústria para SHS.</t>
  </si>
  <si>
    <t>Solicitação aberta no MyITPortal</t>
  </si>
  <si>
    <t>1a configuração do OneDrive</t>
  </si>
  <si>
    <t>IMPORTANT: DO NOT DELETE ANY TEXT BELOW, JUST ADD RELEVANT ANSWERS !!!
Is the license already available for end-user? (YES/NO): yes
Has OneDrive been re-installed? (YES/NO): 
At which steps of KB/TS the Agent failed:
Confirmation that part of TS was done:</t>
  </si>
  <si>
    <t>Adicionar conta de e-mail no Outlook</t>
  </si>
  <si>
    <t>Usuário solicita ajuda para adicionar uma conta de e-mail ao Outlook.</t>
  </si>
  <si>
    <t>IMPORTANT: DO NOT DELETE ANY TEXT BELOW, JUST ADD RELEVANT ANSWERS !!!
Is it working from OWA? (YES/NO):
Affected e-mail/s or mailboxes:
OS Version, see KB0130614: Windows 10
Outlook Version, see KB0019722:
Type of Network connection (e.g. Office LAN, Home Office): 
Event logs, see KB0016643:</t>
  </si>
  <si>
    <t>Teams e/ou Outlook não funcionam no celular</t>
  </si>
  <si>
    <t>Usuário informa que o Teams e/ou o Outlook pararam de funcionar no celular.</t>
  </si>
  <si>
    <t>IMPORTANT: DO NOT DELETE ANY TEXT BELOW, JUST ADD RELEVANT ANSWERS !!!
Is it working from OWA? (YES/NO):
Affected e-mail/s or mailboxes:
OS Version, see KB0130614: Windows 10
Outlook Version, see KB0019722:
Type of Network connection (e.g. Office LAN, Home Office):
Event logs, see KB0016643:</t>
  </si>
  <si>
    <t>Zscaler não conecta</t>
  </si>
  <si>
    <t>Cloud Optimized Internet Access (COIA)</t>
  </si>
  <si>
    <t>Remote Internet Access (ZIS)</t>
  </si>
  <si>
    <t>%43625d5d0fbed600ee53c1cce1050eff</t>
  </si>
  <si>
    <t>%04631a51db1e1c500b68772b689619c7</t>
  </si>
  <si>
    <t>Usuário informa que não consegue conectar-se ao Zscaler.</t>
  </si>
  <si>
    <t>IMPORTANT: DO NOT DELETE ANY TEXT BELOW, JUST ADD RELEVANT ANSWERS !!!
IMPORTANT:
Always attach screenshot of error message from Zscaler
What is the exact issue (slowness, total Internet outage , specific URLs): 
Number of impacted users: 1
Sample users IDs: 
Customer location (country/city): 
Was it working before?:
Last time it was working properly: 
Was there any change done?: 
Screenshot of http://ip.zscaler.com when accessed by user from the internet browser attached?:
Screenshot of the error attached?: 
Customer connecting via (VPN, GRE, pacfile ,forward proxy):
Knowledge Articles followed:</t>
  </si>
  <si>
    <t>Aberto chamado no SHARP</t>
  </si>
  <si>
    <t>Opened ticket on SHARP.</t>
  </si>
  <si>
    <t>Mensagem de ativação do Windows</t>
  </si>
  <si>
    <t>Usuário informa que está aparecendo uma mensagem de ativação do Windows em sua área de trabalho.</t>
  </si>
  <si>
    <t>IP corrigido no Netpro</t>
  </si>
  <si>
    <t>IP fixed on Netpro.</t>
  </si>
  <si>
    <t>Rede wireless não funciona</t>
  </si>
  <si>
    <t>Usuário informa que não consegue utilizar a rede wireless de seu notebook, não aparecem redes próximas</t>
  </si>
  <si>
    <t>Rede wireless não funciona (sem redes próximas)</t>
  </si>
  <si>
    <t>IMPORTANT: Please gather the following MANDATORY DATA POINTS and DO NOT DELETE ANY TEXT BELOW, JUST ADD RELEVANT ANSWERS !!! 
Is it a reachability or slow response issue?:
Since when this problem started?: 
Was it working before?:
Was there any change done recently?:
Checked the newest drivers are installed? (Confirm with Yes/No): yes
Installed newest drivers from Software Center?:(Confirm withYes/No):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
Additionally for potential MI/P2 Issues:
Document at least three affected MAC Adresses:
Document at least three affected Host Names: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Network Team as connected to WAN/SNX, please change the category to:
Network / Wide Area Network WAN / SNX Related Issue
[EXTRACT]</t>
  </si>
  <si>
    <t>Esqueceu a senha do Windows</t>
  </si>
  <si>
    <t>Usuário informa que não consegue lembrar a senha do Windows, é necessário o reset.</t>
  </si>
  <si>
    <t>Senha resetada pelo site mypasswordreset.siemens.com</t>
  </si>
  <si>
    <t>Password has been reseted by mypasswordreset.siemens.com site.</t>
  </si>
  <si>
    <t>Máquina desativada reativada</t>
  </si>
  <si>
    <t>Client was deleted, client reactivated on Netpro and performed GPUPDATE with Zscaler connected.</t>
  </si>
  <si>
    <t>Teclas não funcionam</t>
  </si>
  <si>
    <t>Usuário informa que algumas teclas do seu notebook não funcionam.</t>
  </si>
  <si>
    <t>Perfil do Windows recriado</t>
  </si>
  <si>
    <t>Windows profile recreated.</t>
  </si>
  <si>
    <t>Wireless não conecta</t>
  </si>
  <si>
    <t>Usuário informa que não consegue conectar a rede wireless corporativa.</t>
  </si>
  <si>
    <t>Orientado a enviar e-mail para o MyLearning</t>
  </si>
  <si>
    <t>User oriented to send a e-mail to help-mylearning.hr@siemens.com</t>
  </si>
  <si>
    <t>Redefinição de rede</t>
  </si>
  <si>
    <t>Performed network reset in Network and Internet Status Configuration.</t>
  </si>
  <si>
    <t>Início</t>
  </si>
  <si>
    <t>Fim</t>
  </si>
  <si>
    <t>Incidentes</t>
  </si>
  <si>
    <t>Requests</t>
  </si>
  <si>
    <t>Não passíveis de remoto</t>
  </si>
  <si>
    <t>Portal da Empresa reconfigurado e SAA configurado</t>
  </si>
  <si>
    <t>Company Portal reconfigured and SAA configured.</t>
  </si>
  <si>
    <t>Não consegue imprimir - geral</t>
  </si>
  <si>
    <t>Opção de entrada alterada para PKI</t>
  </si>
  <si>
    <t>Login option changed to PKI.</t>
  </si>
  <si>
    <t>Configurar 2a tela</t>
  </si>
  <si>
    <t>Usuário solicita ajuda para configurar o monitor externo.</t>
  </si>
  <si>
    <t>Apagar SSD</t>
  </si>
  <si>
    <t>Usuário solicita ajuda para apagar todas as informações de seu notebook.</t>
  </si>
  <si>
    <t>SSD apagado com o diskpart</t>
  </si>
  <si>
    <t>SSD erased via diskpart.</t>
  </si>
  <si>
    <t>TOTAL</t>
  </si>
  <si>
    <t>Mensagem de ativação do Office</t>
  </si>
  <si>
    <t>Usuário informa que está aparecendo uma mensagem de ativação do Office ao utilizá-lo e que alguns recursos estão indisponíveis.</t>
  </si>
  <si>
    <t>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t>
  </si>
  <si>
    <t>Office has been activated inserting the e-mail on it.</t>
  </si>
  <si>
    <t>Logged into Company Portal and configured.</t>
  </si>
  <si>
    <t>Reset de celular</t>
  </si>
  <si>
    <t>Usuário solicita ajuda para realizar a limpeza de seu celular para as configurações de fábrica.</t>
  </si>
  <si>
    <t>Reset do celular feito</t>
  </si>
  <si>
    <t>Device reset to factory defaults.</t>
  </si>
  <si>
    <t>Corrigir fuso horário</t>
  </si>
  <si>
    <t>Usuário informa que o relógio de seu notebook está incorreto, necessária a correção do fuso horário do mesmo.</t>
  </si>
  <si>
    <t>Fuso horário corrigido.</t>
  </si>
  <si>
    <t>Corrected time zone.</t>
  </si>
  <si>
    <t>Run gpupdate command and client restarted.</t>
  </si>
  <si>
    <t>GPUPDATE e restart</t>
  </si>
  <si>
    <t>Adicionado PT-BR nas configurações do teclado.</t>
  </si>
  <si>
    <t>Criptografia no dispositivo mobile</t>
  </si>
  <si>
    <t>Email criptografado no dispositivo mobile</t>
  </si>
  <si>
    <t>Usuário solicita ajuda para configurar a criptografia em seu dispositivo mobile.</t>
  </si>
  <si>
    <t>Não consegue projetar no monitor externo</t>
  </si>
  <si>
    <t>Usuário informa que não consegue projetar a tela de seu notebook em nenhum monitor externo.</t>
  </si>
  <si>
    <t>Driver de vídeo atualizado</t>
  </si>
  <si>
    <t xml:space="preserve">Graphics card driver updated. </t>
  </si>
  <si>
    <t>Não consegue conectar no SAP ou pastas de rede</t>
  </si>
  <si>
    <t>Não consegue conectar ao SAP e pastas de rede</t>
  </si>
  <si>
    <t>Usuário informa que não consegue conectar-se ao SAP ou abrir suas pastas de rede.</t>
  </si>
  <si>
    <t>Executado diagnóstico e correção do Windows</t>
  </si>
  <si>
    <t>Windows Diagnostic and Correction runned.</t>
  </si>
  <si>
    <t>Usuário informa que fez o reset de fábrica de seu celular e agora não consegue mais logar no Google no mesmo.</t>
  </si>
  <si>
    <t>Problema pra logar no Google no celular após reset</t>
  </si>
  <si>
    <t>Problema para logar no Google no celular após reset</t>
  </si>
  <si>
    <t>Necessário autorizar em outro dispositivo</t>
  </si>
  <si>
    <t xml:space="preserve">It is necessary to authorize the login of another device already logged in, user oriented. </t>
  </si>
  <si>
    <t>Não consegue configurar o MFA</t>
  </si>
  <si>
    <t>Usuário informa que não consegue configurar o MFA.</t>
  </si>
  <si>
    <t xml:space="preserve">Device conected to network cable, runned GPUPDATE and restarted the device. </t>
  </si>
  <si>
    <t>Não consegue virar ADM</t>
  </si>
  <si>
    <t>Usuário informa que não consegue virar adminstrador de seu equipamento, mesmo solicitando via portal.</t>
  </si>
  <si>
    <t>Usuário solicita alteração de owner de seu equipamento.</t>
  </si>
  <si>
    <t>Owner changed to requester user.</t>
  </si>
  <si>
    <t>Windows travando</t>
  </si>
  <si>
    <t>Usuário informa que o Windows de seu notebook está travando.</t>
  </si>
  <si>
    <t>Pugin de bancos desinstalado</t>
  </si>
  <si>
    <t>Bank plugin uninstalled.</t>
  </si>
  <si>
    <t>Usuário informa que algumas teclas do seu notebook estão alteradas.</t>
  </si>
  <si>
    <t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t>
  </si>
  <si>
    <t>Usuário decidiu não fazer a mudança.</t>
  </si>
  <si>
    <t>User has decided not to make the change.</t>
  </si>
  <si>
    <t>Troca de iPhone</t>
  </si>
  <si>
    <t>IOS</t>
  </si>
  <si>
    <t>%9ff2c6640f26210058d8ded0f1050e14</t>
  </si>
  <si>
    <t>Usuário solicita ajuda para realizar a troca de seu iPhone.</t>
  </si>
  <si>
    <t>Ajuda para compartilhar caixa de entrada</t>
  </si>
  <si>
    <t>Usuário solicita ajuda para compartilhar a caixa de entrada do Outlook.</t>
  </si>
  <si>
    <t>Procedimento / manual enviado</t>
  </si>
  <si>
    <t>Step-by-step sent to user.</t>
  </si>
  <si>
    <t>Software Center reinstalled via SCCM Manager.</t>
  </si>
  <si>
    <t>Software Center reinstalado via SCCM Manager</t>
  </si>
  <si>
    <t>Cancelar cliente</t>
  </si>
  <si>
    <t>Usuário solicita ajuda para cancelar o Windows de sua máquina.</t>
  </si>
  <si>
    <t>Cliente cancelado</t>
  </si>
  <si>
    <t>Client cancelled.</t>
  </si>
  <si>
    <t>Inserir pastas compartilhadas do OneDrive</t>
  </si>
  <si>
    <t>Usuário solicita ajuda para inserir pastas compartilhadas do OneDrive no explorador do Windows.</t>
  </si>
  <si>
    <t>Orientado a abrir o e-mail do OneDrive</t>
  </si>
  <si>
    <t>User oriented to open the received sharing e-mail sended by OneDrive and, in web OneDrive, click in Add Shortcut and Sync.</t>
  </si>
  <si>
    <t>Alterar dono de pasta de rede</t>
  </si>
  <si>
    <t>Usuário solicita ajuda para transferir o owner de suas pastas de rede para outro colaborador.</t>
  </si>
  <si>
    <t>Encaminhado para o analista VIP</t>
  </si>
  <si>
    <t>Is not possible to solve this problem, VIP support advised.</t>
  </si>
  <si>
    <t>Conectado o cabo de rede e reiniciado</t>
  </si>
  <si>
    <t>Connected to network cable and Windows restarted.</t>
  </si>
  <si>
    <t>1a configuração do Zscaler</t>
  </si>
  <si>
    <t>Usuário solicita ajuda para configurar seu Zscaler pela 1a vez.</t>
  </si>
  <si>
    <t>Affected Software: mentioned above</t>
  </si>
  <si>
    <t>Conectado ao cabo de rede, GPUPDATE e reiniciado</t>
  </si>
  <si>
    <t>Siemens e-mail and PKI inserted in Zscaler.</t>
  </si>
  <si>
    <t>Inserido e-mail e PKI no Zscaler</t>
  </si>
  <si>
    <t>Crachá sem certificados</t>
  </si>
  <si>
    <t>The corporate card has no certificates, user oriented to contact Service Desk.</t>
  </si>
  <si>
    <t>Internet do celular não funciona</t>
  </si>
  <si>
    <t>Usuário informa que a internet do celular não está funcionando.</t>
  </si>
  <si>
    <t>Acabaram os dados do celular</t>
  </si>
  <si>
    <t>All mobile data plan internet was consumed, user oriented to contact mobile team.</t>
  </si>
  <si>
    <t>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t>
  </si>
  <si>
    <t>Copiados os arquivos de outro computador</t>
  </si>
  <si>
    <t>Settings files copied from another computer to computer of the user.</t>
  </si>
  <si>
    <t>Configurado Adobe Acrobat DC como aplicativo padrão</t>
  </si>
  <si>
    <t xml:space="preserve">Adobe Acrobat DC configured as default PDF reader. </t>
  </si>
  <si>
    <t>Bitlocker configurado</t>
  </si>
  <si>
    <t>Bitlocker configured</t>
  </si>
  <si>
    <t>Opção de reunião pelo Teams não aparece no Outlook</t>
  </si>
  <si>
    <t>Fechado o Teams, escolhido aparecer os plugins desabilitados e plugin do Teams habilitado no Outlook</t>
  </si>
  <si>
    <t>Teams closed, in Outlook options setted to show the disabled plugins and Teams plugin activated.</t>
  </si>
  <si>
    <t>E-mail de atualização do Windows</t>
  </si>
  <si>
    <t>Usuário informa que recebeu um e-mail informando sobre atualizações do Windows pendentes mandatórias e deseja saber como prosseguir.</t>
  </si>
  <si>
    <t>IMPORTANT: DO NOT DELETE ANY TEXT BELOW, JUST ADD RELEVANT ANSWERS!!!
ADD "20H2" or "1909" at the beginning of the Short Description!!!
Fill in ONLY if Issue is NOT SOLVED &amp; ticket needs to be dispatched (Otherwise skip):
UCMS logfile attached, see KB0014119 (YES/NO):
Pather logfile attached, see KB0138165 (YES/NO): no</t>
  </si>
  <si>
    <t>Rede bloqueia o link</t>
  </si>
  <si>
    <t>The Siemens network security blocks the specific link, user oriented to use your mobile data when needs access this link.</t>
  </si>
  <si>
    <t>E-mail compartilhado configurado</t>
  </si>
  <si>
    <t>As the manager, do the following in Outlook:
Right-click the root folder of the Exchange mailbox, and click Folder Permissions.
Click the name of the delegate.
Under Permissions, under Other, select the Folder visible check box.
Click OK.
As the delegate, do the following in Outlook:
Click File &gt; Account Settings &gt; Account Settings.
Account Settings in the Backstage view
On the Email tab in the list, click the Exchange account type, click Change, and then click More Settings.
On the Advanced tab, under Open these additional mailboxes, click Add, and then enter the mailbox name of the person whose mailbox that you want to add to your user profile. If you do not know the mailbox name, ask the person who granted you Delegate Access permissions.</t>
  </si>
  <si>
    <t>Zscaler reiniciado</t>
  </si>
  <si>
    <t>Zscaler restarted.</t>
  </si>
  <si>
    <t>IMPORTANT: DO NOT DELETE ANY TEXT BELOW, JUST ADD RELEVANT ANSWERS !!!
At which steps of KB/TS the Agent failed: N/A</t>
  </si>
  <si>
    <t>Data e hora corrigidos</t>
  </si>
  <si>
    <t>Fixed date and time.</t>
  </si>
  <si>
    <t>Usuário solicita ajuda para realizar o Rekey dos certificados em seu cartão.</t>
  </si>
  <si>
    <t>Acesso a caixa de e-mail compartilhada</t>
  </si>
  <si>
    <t>Usuário informa que a opção de reunião pelo Teams não aparece no Outlook</t>
  </si>
  <si>
    <t>Usuário solicita ajuda para alterar permissões de uma caixa de e-mails compartilhada.</t>
  </si>
  <si>
    <t>Alterações feitas no MyITPortal</t>
  </si>
  <si>
    <t>Changes made in MyITPortal.</t>
  </si>
  <si>
    <t>#Aplicativo não aparece no Software Center</t>
  </si>
  <si>
    <t>#aplicativo não aparece no Software Center</t>
  </si>
  <si>
    <t>Usuário informa que não consegue encontrar o #aplicativo no Software Center.</t>
  </si>
  <si>
    <t>Criar grupo de contatos no Outlook</t>
  </si>
  <si>
    <t>Usuário solicita ajuda para criar um grupo de contatos no Outlook.</t>
  </si>
  <si>
    <t>Grupo de contatos criado</t>
  </si>
  <si>
    <t>Contacts group created sucessfully.</t>
  </si>
  <si>
    <t>Alterar linguagem do Office</t>
  </si>
  <si>
    <t>Usuário solicita ajuda para alterar a linguagem do Office.</t>
  </si>
  <si>
    <t>Configuração do perfil da empresa</t>
  </si>
  <si>
    <t>Usuário solicita ajuda para configurar o perfil da empresa em seu dispositivo móvel.</t>
  </si>
  <si>
    <t>Configuração de perfil da empresa - Android</t>
  </si>
  <si>
    <t>Configuração de perfil da empresa - IOS</t>
  </si>
  <si>
    <t>Instalar #Aplicativo</t>
  </si>
  <si>
    <t>Usuário solicita ajuda para instalar o aplicativo #Aplicativo</t>
  </si>
  <si>
    <t>Criptografia configurada</t>
  </si>
  <si>
    <t>Encryption configured.</t>
  </si>
  <si>
    <t>Reinstalado driver da Ricoh</t>
  </si>
  <si>
    <t>Uninstalled all Ricoh applications and reinstalled the agent via Software Center.</t>
  </si>
  <si>
    <t>Desinstalar #Aplicativo</t>
  </si>
  <si>
    <t>Usuário solicita ajuda para desinstalar o aplicativo #Aplicativo</t>
  </si>
  <si>
    <t>Aplicativo desinstalado</t>
  </si>
  <si>
    <t>App uninstalled.</t>
  </si>
  <si>
    <t>Linguagem do Office baixada pelo SC</t>
  </si>
  <si>
    <t>App Office 365 add - languages downloaded in Software Center then Office language downloaded in this app.</t>
  </si>
  <si>
    <t>Usuário informa que não consegue instalar o #Software.</t>
  </si>
  <si>
    <t>Não consegue instalar o #Software</t>
  </si>
  <si>
    <t>Não consegue instalar #Software</t>
  </si>
  <si>
    <t>Office ativado E-mail inserido</t>
  </si>
  <si>
    <t>Adicionada conta de e-mail</t>
  </si>
  <si>
    <t>#Software não funciona</t>
  </si>
  <si>
    <t>Usuário informa que o #Software não está funcionando corretamente.</t>
  </si>
  <si>
    <t>#Software com problema</t>
  </si>
  <si>
    <t>Solicitação de máquina virtual</t>
  </si>
  <si>
    <t>Virtual Client</t>
  </si>
  <si>
    <t>User Session</t>
  </si>
  <si>
    <t>%23f2c6640f26210058d8ded0f1050e19</t>
  </si>
  <si>
    <t>%67f2c6640f26210058d8ded0f1050e19</t>
  </si>
  <si>
    <t>Usuário solicita ajuda para solicitar e utilizar uma máquina virtual.</t>
  </si>
  <si>
    <t>Evento do calendário não aparece</t>
  </si>
  <si>
    <t>Usuário informa que um dos seus eventos não estão aparecendo em seu calendário, mas aparece para as outras pessoas convidadas ao evento.</t>
  </si>
  <si>
    <t>%ab305321db36801c22b9e7ba4896199b</t>
  </si>
  <si>
    <t>Calendar</t>
  </si>
  <si>
    <t>Evento restaurado da lixeira para o calendário.</t>
  </si>
  <si>
    <t>Event restored from Deleted Items.</t>
  </si>
  <si>
    <t>Solicitação de Network Smartcard</t>
  </si>
  <si>
    <t>Usuário solicita ajuda para solicitação e configuração do NSC para utilização em sua máquina virtual.</t>
  </si>
  <si>
    <t>NSC solicitado e configurado.</t>
  </si>
  <si>
    <t>NSC requested and configured.</t>
  </si>
  <si>
    <t xml:space="preserve">IMPORTANT: DO NOT DELETE ANY TEXT BELOW, JUST ADD RELEVANT ANSWERS !!!
Is it working from OWA? (YES/NO):
Affected e-mail/s or mailboxes:
OS Version, see KB0130614:
Outlook Version, see KB0019722:
Type of Network connection (e.g. Office LAN, Home Office): all
</t>
  </si>
  <si>
    <t>e-CPF não funciona</t>
  </si>
  <si>
    <t>Usuário informa que seu e-CPF não funciona.</t>
  </si>
  <si>
    <t>Drivers GEMALTO instalados</t>
  </si>
  <si>
    <t>GEMALTO drivers installed.</t>
  </si>
  <si>
    <t>Alterar linguagem do Office online</t>
  </si>
  <si>
    <t>%9c67a8e9dbc4fbc0c408e6ab0b96191f</t>
  </si>
  <si>
    <t>%5a418c0adb11d4100b68772b689619d6</t>
  </si>
  <si>
    <t>Exception Handling Request</t>
  </si>
  <si>
    <t>O365 Online Services</t>
  </si>
  <si>
    <t>Usuário solicita ajuda para alterar a linguagem do Office online.</t>
  </si>
  <si>
    <t>Manual</t>
  </si>
  <si>
    <t>Troca de computador</t>
  </si>
  <si>
    <t>Usuário solicita um passo-a-passo para configuração de #configuração.</t>
  </si>
  <si>
    <t>Usuário realizou a troca de seu computador e solicita ajuda para realizar a primeira configuração em seu novo equipamento.</t>
  </si>
  <si>
    <t>Erro ao importar favoritos</t>
  </si>
  <si>
    <t>Usuário informa que está tentando importar seus favoritos do browser mas não está concluindo com sucesso.</t>
  </si>
  <si>
    <t>Arquivos estavam ocultos</t>
  </si>
  <si>
    <t>The files was hidden. Turned off this option.</t>
  </si>
  <si>
    <t>Sincronizar favoritos do Edge</t>
  </si>
  <si>
    <t>Usuário solicita ajuda para sincronizar favoritos do Edge.</t>
  </si>
  <si>
    <t>Sincronização habilitada nas configurações</t>
  </si>
  <si>
    <t>Enabled sync in browser options.</t>
  </si>
  <si>
    <t>Restaurar backup do OneNote</t>
  </si>
  <si>
    <t>Usuário solicita ajuda para restaurar seu backup do OneNote.</t>
  </si>
  <si>
    <t>Efetuado login e aberto os cadernos</t>
  </si>
  <si>
    <t>Logged in and opened the notebooks.</t>
  </si>
  <si>
    <t>Criar lista de distribuição do Outlook</t>
  </si>
  <si>
    <t>Usuário solicita ajuda para criar uma lista de distribuição do Outlook.</t>
  </si>
  <si>
    <t>Distribution List</t>
  </si>
  <si>
    <t>%c4409321db36801c22b9e7ba4896195e</t>
  </si>
  <si>
    <t>Não consegue abrir e-mails criptografados antigos.</t>
  </si>
  <si>
    <t>Não consegue abrir e-mails antigos</t>
  </si>
  <si>
    <t>Usuário informa que não consegue abrir e-mails antigos criptografados.</t>
  </si>
  <si>
    <t>Adicionar dispositivo MFA</t>
  </si>
  <si>
    <t>Adicionar dispositivo no MFA</t>
  </si>
  <si>
    <t>Usuário solicita ajuda para adicionar um novo dispositivo ao MFA.</t>
  </si>
  <si>
    <t>Adicionado no MFA</t>
  </si>
  <si>
    <t>Added device in aka.ms/mfasetup</t>
  </si>
  <si>
    <t>Erros em macros do Excel</t>
  </si>
  <si>
    <t>Usuário informa que ao abrir planilhas com macros essas macros não funcionam corretamente.</t>
  </si>
  <si>
    <t>Office 64x desinstalado e instalado 32x</t>
  </si>
  <si>
    <t>Office 64x uninstalled and installed Office 32x.</t>
  </si>
  <si>
    <t>Chave de recuperação não existe, procurar serviço externo</t>
  </si>
  <si>
    <t>The key informed don't match any recovery key in Netpro. User oriented to search external support.</t>
  </si>
  <si>
    <t>Office não abre arquivos</t>
  </si>
  <si>
    <t>Usuário informa que não consegue abrir arquivos do Office.</t>
  </si>
  <si>
    <t>Configuração de rede Guest</t>
  </si>
  <si>
    <t>Software Center não aparece</t>
  </si>
  <si>
    <t>Usuário informa que o Software Center parece não estar instalado no Windows.</t>
  </si>
  <si>
    <t>Não conecta em redes não-Siemens</t>
  </si>
  <si>
    <t>Adicionado e-mails na lista de distribuição</t>
  </si>
  <si>
    <t>Followed step-by-step in Sharp/MyIT, logged in EAC Portal with e-mail, searched distribution list e-mail and edited putting new members e-mails.</t>
  </si>
  <si>
    <t>Usuário informa que não consegue conectar-se à redes wireless não-Siemens.</t>
  </si>
  <si>
    <t>Problema com sincronização do TEAMS</t>
  </si>
  <si>
    <t>Problemas com sincronização do TEAMS</t>
  </si>
  <si>
    <t xml:space="preserve">Usuário informa que ás vezes recebe mensagens do Teams no aplicativo do Windows mas não no celular e vice-versa. </t>
  </si>
  <si>
    <t>Não consegue logar no #Software</t>
  </si>
  <si>
    <t>Usuário informa ter problemas para efetuar o login no #Software</t>
  </si>
  <si>
    <t>Orientado a procurar o suporte do software</t>
  </si>
  <si>
    <t>User oriented to contact the software team support.</t>
  </si>
  <si>
    <t>Ajuda para fazer login no Chrome</t>
  </si>
  <si>
    <t>Login no Chrome</t>
  </si>
  <si>
    <t>Usuário solicita ajuda para fazer o login de sua conta Google no Chrome.</t>
  </si>
  <si>
    <t>User oriented that this option is blocked by security team and is not possible to change it.</t>
  </si>
  <si>
    <t>Informado que não é possível por medidas de segurança</t>
  </si>
  <si>
    <t>Copiada pasta favoritos</t>
  </si>
  <si>
    <t>Backup of Favorites folder done.</t>
  </si>
  <si>
    <t>Arquivo de favoritos exportado</t>
  </si>
  <si>
    <t>Favorite file exported.</t>
  </si>
  <si>
    <t>Transferência feita</t>
  </si>
  <si>
    <t>Transfer done.</t>
  </si>
  <si>
    <t>E-mail account has been added in Outlook at File -&gt; Add Account.</t>
  </si>
  <si>
    <t>Client Accenture excluído e solicitado novo client Atos.</t>
  </si>
  <si>
    <t>Canceled Accenture client and requested a new Atos client.</t>
  </si>
  <si>
    <t>E-mail Siemens inserido</t>
  </si>
  <si>
    <t>Logged in with Siemens e-mail.</t>
  </si>
  <si>
    <t>Habilitar Windows Hello</t>
  </si>
  <si>
    <t>Usuário solicita ajuda para habilitar o Windows Hello em seu computador.</t>
  </si>
  <si>
    <t>Request opened in MyITPortal.</t>
  </si>
  <si>
    <t>Problema geral, orientado a ligar no SD</t>
  </si>
  <si>
    <t>Geral problem, user oriented to contact Service Desk.</t>
  </si>
  <si>
    <t>Login como adm e reativadas placas de rede</t>
  </si>
  <si>
    <t>Logged in with local admin account and wireless and cable network cards enabled.</t>
  </si>
  <si>
    <t>Informado os requisitos para criação da senha</t>
  </si>
  <si>
    <t>User informed the security requirements to create a new Windows password.</t>
  </si>
  <si>
    <t>Keyboard language PT-BR added and changed to.</t>
  </si>
  <si>
    <t>Criado atalho da transação no SAP</t>
  </si>
  <si>
    <t>Shortcut to transation created.</t>
  </si>
  <si>
    <t>Usuário desistiu da alteração</t>
  </si>
  <si>
    <t>User gave up making the change.</t>
  </si>
  <si>
    <t>Máquina entregue errado, trocada</t>
  </si>
  <si>
    <t>The device delivered to user was wrong, device changed to correct and delivered to 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</si>
</sst>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20"/>
      <color theme="1"/>
      <name val="Calibri"/>
      <family val="2"/>
      <scheme val="minor"/>
    </font>
    <font>
      <b/>
      <sz val="9"/>
      <color indexed="81"/>
      <name val="Segoe UI"/>
      <family val="2"/>
    </font>
    <font>
      <sz val="11"/>
      <color rgb="FFFF0000"/>
      <name val="Calibri"/>
      <family val="2"/>
      <scheme val="minor"/>
    </font>
    <font>
      <sz val="9"/>
      <color indexed="81"/>
      <name val="Segoe UI"/>
      <family val="2"/>
    </font>
    <font>
      <sz val="11"/>
      <color rgb="FF000000"/>
      <name val="Calibri"/>
      <family val="2"/>
    </font>
  </fonts>
  <fills count="2">
    <fill>
      <patternFill patternType="none"/>
    </fill>
    <fill>
      <patternFill patternType="gray125"/>
    </fill>
  </fills>
  <borders count="2">
    <border>
      <left/>
      <right/>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14">
    <xf numFmtId="0" fontId="0" fillId="0" borderId="0" xfId="0"/>
    <xf numFmtId="0" fontId="1" fillId="0" borderId="0" xfId="0" applyFont="1"/>
    <xf numFmtId="11" fontId="0" fillId="0" borderId="0" xfId="0" applyNumberFormat="1"/>
    <xf numFmtId="49" fontId="1" fillId="0" borderId="0" xfId="0" applyNumberFormat="1" applyFont="1"/>
    <xf numFmtId="49" fontId="0" fillId="0" borderId="0" xfId="0" applyNumberFormat="1"/>
    <xf numFmtId="0" fontId="0" fillId="0" borderId="0" xfId="0" applyAlignment="1"/>
    <xf numFmtId="0" fontId="1" fillId="0" borderId="0" xfId="0" applyFont="1" applyAlignment="1"/>
    <xf numFmtId="0" fontId="3" fillId="0" borderId="0" xfId="0" applyFont="1" applyAlignment="1"/>
    <xf numFmtId="0" fontId="0" fillId="0" borderId="0" xfId="0" quotePrefix="1" applyAlignment="1"/>
    <xf numFmtId="0" fontId="0" fillId="0" borderId="1" xfId="0" applyFont="1" applyBorder="1" applyAlignment="1"/>
    <xf numFmtId="0" fontId="0" fillId="0" borderId="0" xfId="0" applyNumberFormat="1" applyAlignment="1"/>
    <xf numFmtId="14" fontId="0" fillId="0" borderId="0" xfId="0" applyNumberFormat="1"/>
    <xf numFmtId="0" fontId="0" fillId="0" borderId="0" xfId="0" applyFont="1"/>
    <xf numFmtId="0" fontId="0" fillId="0" borderId="0" xfId="0" applyFont="1" applyAlignment="1"/>
  </cellXfs>
  <cellStyles count="1">
    <cellStyle name="Normal" xfId="0" builtinId="0"/>
  </cellStyles>
  <dxfs count="26">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dd/mm/yyyy"/>
    </dxf>
    <dxf>
      <numFmt numFmtId="19" formatCode="dd/mm/yyyy"/>
    </dxf>
    <dxf>
      <numFmt numFmtId="30" formatCode="@"/>
    </dxf>
    <dxf>
      <font>
        <b/>
        <i val="0"/>
        <strike val="0"/>
        <condense val="0"/>
        <extend val="0"/>
        <outline val="0"/>
        <shadow val="0"/>
        <u val="none"/>
        <vertAlign val="baseline"/>
        <sz val="20"/>
        <color theme="1"/>
        <name val="Calibri"/>
        <family val="2"/>
        <scheme val="minor"/>
      </font>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i val="0"/>
        <strike val="0"/>
        <condense val="0"/>
        <extend val="0"/>
        <outline val="0"/>
        <shadow val="0"/>
        <u val="none"/>
        <vertAlign val="baseline"/>
        <sz val="20"/>
        <color theme="1"/>
        <name val="Calibri"/>
        <family val="2"/>
        <scheme val="minor"/>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2049780</xdr:colOff>
          <xdr:row>0</xdr:row>
          <xdr:rowOff>38100</xdr:rowOff>
        </xdr:from>
        <xdr:to>
          <xdr:col>1</xdr:col>
          <xdr:colOff>2887980</xdr:colOff>
          <xdr:row>0</xdr:row>
          <xdr:rowOff>259080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Abrir Ticket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1295400</xdr:colOff>
          <xdr:row>0</xdr:row>
          <xdr:rowOff>38100</xdr:rowOff>
        </xdr:from>
        <xdr:to>
          <xdr:col>1</xdr:col>
          <xdr:colOff>1767840</xdr:colOff>
          <xdr:row>0</xdr:row>
          <xdr:rowOff>266700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DP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2354580</xdr:colOff>
          <xdr:row>0</xdr:row>
          <xdr:rowOff>60960</xdr:rowOff>
        </xdr:from>
        <xdr:to>
          <xdr:col>1</xdr:col>
          <xdr:colOff>3832860</xdr:colOff>
          <xdr:row>0</xdr:row>
          <xdr:rowOff>274320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Fechar Ticket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C4EBA4-1652-4096-81F5-064290764BAE}" name="Tabela1" displayName="Tabela1" ref="A1:N171" totalsRowShown="0" headerRowDxfId="25" dataDxfId="24">
  <autoFilter ref="A1:N171" xr:uid="{87C4EBA4-1652-4096-81F5-064290764BAE}"/>
  <tableColumns count="14">
    <tableColumn id="26" xr3:uid="{D0B419FD-1ECF-43D2-8142-1C7992D19B1A}" name="Utilizações" dataDxfId="23"/>
    <tableColumn id="1" xr3:uid="{9B525B03-6BF9-4CEA-9F1C-C9371978D075}" name="Problema" dataDxfId="22"/>
    <tableColumn id="2" xr3:uid="{65B7FBC8-224A-47A8-A40A-1E64071469C4}" name="Costumer Identification" dataDxfId="21"/>
    <tableColumn id="3" xr3:uid="{1A1ABB73-5E1F-46F6-A8F1-749B5C6C002B}" name="Category" dataDxfId="20"/>
    <tableColumn id="4" xr3:uid="{90A09770-484B-43B9-BF8D-EF95872FEC2B}" name="Cod_Category" dataDxfId="19">
      <calculatedColumnFormula array="1">INDEX('Codigos Categorias'!$C:$C,MATCH(D$1&amp;D2,'Codigos Categorias'!$A:$A&amp;'Codigos Categorias'!$B:$B,0))</calculatedColumnFormula>
    </tableColumn>
    <tableColumn id="5" xr3:uid="{364E678D-9343-4EF6-91AB-38AD25F58F7A}" name="Subcategory" dataDxfId="18"/>
    <tableColumn id="6" xr3:uid="{3D4C43DF-0BBC-443E-94C8-722E5D50969C}" name="Cod_Category2" dataDxfId="17">
      <calculatedColumnFormula array="1">INDEX('Codigos Categorias'!$C:$C,MATCH(F$1&amp;F2,'Codigos Categorias'!$A:$A&amp;'Codigos Categorias'!$B:$B,0))</calculatedColumnFormula>
    </tableColumn>
    <tableColumn id="7" xr3:uid="{E84FD7D4-A107-455D-BB94-3D109E514604}" name="Subsubcategory" dataDxfId="16"/>
    <tableColumn id="8" xr3:uid="{1694A6DA-B7BF-4377-BB59-2A2DC9AAC7CA}" name="Cod_Category3" dataDxfId="15">
      <calculatedColumnFormula array="1">INDEX('Codigos Categorias'!$C:$C,MATCH(H$1&amp;H2,'Codigos Categorias'!$A:$A&amp;'Codigos Categorias'!$B:$B,0))</calculatedColumnFormula>
    </tableColumn>
    <tableColumn id="9" xr3:uid="{E1CC6A5B-8F07-4457-A3D3-3352692DAA7A}" name="Template" dataDxfId="14"/>
    <tableColumn id="10" xr3:uid="{B7939738-0862-46E5-AD3B-1D76EE963BFF}" name="Short Description" dataDxfId="13"/>
    <tableColumn id="11" xr3:uid="{C5D4BDB7-108C-4A10-977C-7CBA410A75AA}" name="Description" dataDxfId="12"/>
    <tableColumn id="14" xr3:uid="{2DF87A61-26FC-4720-B60E-F08AAEE4C827}" name="Data Points" dataDxfId="11">
      <calculatedColumnFormula array="1">INDEX('Data Points padrão'!$D:$D,MATCH(D2&amp;F2&amp;H2,'Data Points padrão'!$A:$A&amp;'Data Points padrão'!$B:$B&amp;'Data Points padrão'!$C:$C,0))</calculatedColumnFormula>
    </tableColumn>
    <tableColumn id="13" xr3:uid="{F0BA0065-FDA5-4C08-AA05-A4DE80967F28}" name="Tipo"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2602F0-67DF-4A27-9122-707D38F46D6F}" name="Tabela3" displayName="Tabela3" ref="A1:F211" totalsRowShown="0" headerRowDxfId="9">
  <autoFilter ref="A1:F211" xr:uid="{F22602F0-67DF-4A27-9122-707D38F46D6F}"/>
  <tableColumns count="6">
    <tableColumn id="6" xr3:uid="{D2444468-4E28-49D2-9ACA-AF1AD5C21C25}" name="Utilizações"/>
    <tableColumn id="1" xr3:uid="{7D99420C-4B50-46F2-8D37-3401C6611D18}" name="Solução"/>
    <tableColumn id="2" xr3:uid="{5393169F-6F82-4624-B431-CB9890F0146C}" name="Resolution notes"/>
    <tableColumn id="3" xr3:uid="{2AB3E9EF-4741-46CD-8152-386151DC336E}" name="Resolution code"/>
    <tableColumn id="4" xr3:uid="{4AED6F65-8897-49FE-8562-AF0DEDE7D83C}" name="Solution Category" dataDxfId="8"/>
    <tableColumn id="5" xr3:uid="{C28CB2ED-F20D-4418-8B73-2D1B24874612}" name="Solution SubCategor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1D51BA-FCEA-4AAD-8505-E4568A3445AC}" name="Tabela5" displayName="Tabela5" ref="A1:F16" totalsRowShown="0">
  <autoFilter ref="A1:F16" xr:uid="{D01D51BA-FCEA-4AAD-8505-E4568A3445AC}"/>
  <tableColumns count="6">
    <tableColumn id="1" xr3:uid="{51DCC769-4AB4-4ECF-BBB6-FF251E32A523}" name="Início" dataDxfId="7"/>
    <tableColumn id="2" xr3:uid="{B7A20C3F-69B7-4CA8-9255-DA1DDECB2301}" name="Fim" dataDxfId="6">
      <calculatedColumnFormula>A2+4</calculatedColumnFormula>
    </tableColumn>
    <tableColumn id="3" xr3:uid="{9E068160-0FBF-44BA-893E-0863517D827A}" name="Incidentes"/>
    <tableColumn id="4" xr3:uid="{F84C6C78-0DF3-4313-8945-21FAD7A6F8C8}" name="Requests"/>
    <tableColumn id="5" xr3:uid="{E9107AD5-E55A-4C87-863D-4370C24950DD}" name="Não passíveis de remoto"/>
    <tableColumn id="6" xr3:uid="{78C1B4B2-ADA2-4AA0-8DA6-7DCF2A7AE9B3}" name="TOTAL">
      <calculatedColumnFormula>Tabela5[[#This Row],[Incidentes]]+Tabela5[[#This Row],[Requests]]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4A2A3-38FB-4620-8F37-B0B473F7AA1F}" name="Tabela4" displayName="Tabela4" ref="A1:D27" totalsRowShown="0" headerRowDxfId="5" dataDxfId="4">
  <autoFilter ref="A1:D27" xr:uid="{F524A2A3-38FB-4620-8F37-B0B473F7AA1F}"/>
  <tableColumns count="4">
    <tableColumn id="1" xr3:uid="{01597BAF-7591-4EEA-9D9F-1F38C89B28CC}" name="Category" dataDxfId="3"/>
    <tableColumn id="2" xr3:uid="{22E343B1-2B30-433D-AEE1-55744B36A957}" name="Subcategory" dataDxfId="2"/>
    <tableColumn id="3" xr3:uid="{885563B2-E082-4676-ACF6-91E2B91C9075}" name="Subsubcategory" dataDxfId="1"/>
    <tableColumn id="4" xr3:uid="{61822E7C-4D01-4EC9-986E-E6E11F6AB971}" name="Data Points" dataDxfId="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F5865DA-5B94-49C4-8050-E0D44187A922}" name="Tabela2" displayName="Tabela2" ref="A1:C81" totalsRowShown="0">
  <autoFilter ref="A1:C81" xr:uid="{3F5865DA-5B94-49C4-8050-E0D44187A922}"/>
  <tableColumns count="3">
    <tableColumn id="1" xr3:uid="{92E01947-7285-41E9-BACC-02A2ADF274DC}" name="Tipo"/>
    <tableColumn id="2" xr3:uid="{39476255-1135-4F71-BAC9-F89FE534D7B5}" name="Nome"/>
    <tableColumn id="3" xr3:uid="{B82C5C6B-3275-43F2-BEA5-49412AE71C38}" name="Códig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425AC-832F-4B41-A071-B556126C0DCD}">
  <sheetPr codeName="Planilha6"/>
  <dimension ref="A1:N171"/>
  <sheetViews>
    <sheetView tabSelected="1" workbookViewId="0">
      <pane xSplit="2" ySplit="1" topLeftCell="C2" activePane="bottomRight" state="frozen"/>
      <selection pane="topRight" activeCell="B1" sqref="B1"/>
      <selection pane="bottomLeft" activeCell="A2" sqref="A2"/>
      <selection pane="bottomRight" activeCell="J10" sqref="J10"/>
    </sheetView>
  </sheetViews>
  <sheetFormatPr defaultRowHeight="14.4" x14ac:dyDescent="0.3"/>
  <cols>
    <col min="1" max="1" width="5.33203125" style="5" customWidth="1"/>
    <col min="2" max="2" width="47.5546875" style="5" customWidth="1"/>
    <col min="3" max="3" width="40.44140625" style="5" bestFit="1" customWidth="1"/>
    <col min="4" max="4" width="19.109375" style="5" bestFit="1" customWidth="1"/>
    <col min="5" max="5" width="34.5546875" style="5" hidden="1" customWidth="1"/>
    <col min="6" max="6" width="33.44140625" style="5" bestFit="1" customWidth="1"/>
    <col min="7" max="7" width="35" style="5" hidden="1" customWidth="1"/>
    <col min="8" max="8" width="37.44140625" style="5" bestFit="1" customWidth="1"/>
    <col min="9" max="9" width="38.33203125" style="5" hidden="1" customWidth="1"/>
    <col min="10" max="10" width="59.109375" style="5" bestFit="1" customWidth="1"/>
    <col min="11" max="11" width="46.5546875" style="5" bestFit="1" customWidth="1"/>
    <col min="12" max="12" width="97.33203125" style="5" bestFit="1" customWidth="1"/>
    <col min="13" max="13" width="97.33203125" style="5" customWidth="1"/>
    <col min="14" max="14" width="14.88671875" style="5" bestFit="1" customWidth="1"/>
    <col min="15" max="16384" width="8.88671875" style="5"/>
  </cols>
  <sheetData>
    <row r="1" spans="1:14" s="6" customFormat="1" ht="25.8" x14ac:dyDescent="0.5">
      <c r="A1" s="6" t="s">
        <v>0</v>
      </c>
      <c r="B1" s="6" t="s">
        <v>1</v>
      </c>
      <c r="C1" s="6" t="s">
        <v>2</v>
      </c>
      <c r="D1" s="6" t="s">
        <v>3</v>
      </c>
      <c r="E1" s="6" t="s">
        <v>4</v>
      </c>
      <c r="F1" s="6" t="s">
        <v>5</v>
      </c>
      <c r="G1" s="6" t="s">
        <v>6</v>
      </c>
      <c r="H1" s="6" t="s">
        <v>7</v>
      </c>
      <c r="I1" s="6" t="s">
        <v>8</v>
      </c>
      <c r="J1" s="6" t="s">
        <v>9</v>
      </c>
      <c r="K1" s="6" t="s">
        <v>10</v>
      </c>
      <c r="L1" s="6" t="s">
        <v>11</v>
      </c>
      <c r="M1" s="6" t="s">
        <v>12</v>
      </c>
      <c r="N1" s="6" t="s">
        <v>13</v>
      </c>
    </row>
    <row r="2" spans="1:14" x14ac:dyDescent="0.3">
      <c r="B2" s="5" t="s">
        <v>14</v>
      </c>
      <c r="C2" s="5" t="s">
        <v>607</v>
      </c>
      <c r="D2" s="5" t="s">
        <v>15</v>
      </c>
      <c r="E2" s="5" t="str" cm="1">
        <f t="array" ref="E2">INDEX('Codigos Categorias'!$C:$C,MATCH(D$1&amp;D2,'Codigos Categorias'!$A:$A&amp;'Codigos Categorias'!$B:$B,0))</f>
        <v>%93f2c6640f26210058d8ded0f1050e12</v>
      </c>
      <c r="F2" s="5" t="s">
        <v>16</v>
      </c>
      <c r="G2" s="5" t="str" cm="1">
        <f t="array" ref="G2">INDEX('Codigos Categorias'!$C:$C,MATCH(F$1&amp;F2,'Codigos Categorias'!$A:$A&amp;'Codigos Categorias'!$B:$B,0))</f>
        <v>%a3f2c6640f26210058d8ded0f1050e1b</v>
      </c>
      <c r="H2" s="5" t="s">
        <v>17</v>
      </c>
      <c r="I2" s="5" t="str" cm="1">
        <f t="array" ref="I2">INDEX('Codigos Categorias'!$C:$C,MATCH(H$1&amp;H2,'Codigos Categorias'!$A:$A&amp;'Codigos Categorias'!$B:$B,0))</f>
        <v>%6145e363db1c3b007f4f5b06ca9619b4</v>
      </c>
      <c r="K2" s="5" t="s">
        <v>14</v>
      </c>
      <c r="L2" s="5" t="s">
        <v>18</v>
      </c>
      <c r="M2" s="5" t="e" cm="1">
        <f t="array" ref="M2">INDEX('Data Points padrão'!$D:$D,MATCH(D2&amp;F2&amp;H2,'Data Points padrão'!$A:$A&amp;'Data Points padrão'!$B:$B&amp;'Data Points padrão'!$C:$C,0))</f>
        <v>#N/A</v>
      </c>
    </row>
    <row r="3" spans="1:14" x14ac:dyDescent="0.3">
      <c r="A3" s="5">
        <v>7</v>
      </c>
      <c r="B3" s="5" t="s">
        <v>19</v>
      </c>
      <c r="C3" s="5" t="s">
        <v>607</v>
      </c>
      <c r="D3" s="5" t="s">
        <v>15</v>
      </c>
      <c r="E3" s="5" t="str" cm="1">
        <f t="array" ref="E3">INDEX('Codigos Categorias'!$C:$C,MATCH(D$1&amp;D3,'Codigos Categorias'!$A:$A&amp;'Codigos Categorias'!$B:$B,0))</f>
        <v>%93f2c6640f26210058d8ded0f1050e12</v>
      </c>
      <c r="F3" s="5" t="s">
        <v>16</v>
      </c>
      <c r="G3" s="5" t="str" cm="1">
        <f t="array" ref="G3">INDEX('Codigos Categorias'!$C:$C,MATCH(F$1&amp;F3,'Codigos Categorias'!$A:$A&amp;'Codigos Categorias'!$B:$B,0))</f>
        <v>%a3f2c6640f26210058d8ded0f1050e1b</v>
      </c>
      <c r="H3" s="5" t="s">
        <v>17</v>
      </c>
      <c r="I3" s="5" t="str" cm="1">
        <f t="array" ref="I3">INDEX('Codigos Categorias'!$C:$C,MATCH(H$1&amp;H3,'Codigos Categorias'!$A:$A&amp;'Codigos Categorias'!$B:$B,0))</f>
        <v>%6145e363db1c3b007f4f5b06ca9619b4</v>
      </c>
      <c r="K3" s="5" t="s">
        <v>20</v>
      </c>
      <c r="L3" s="5" t="s">
        <v>21</v>
      </c>
      <c r="M3" s="5" t="e" cm="1">
        <f t="array" ref="M3">INDEX('Data Points padrão'!$D:$D,MATCH(D3&amp;F3&amp;H3,'Data Points padrão'!$A:$A&amp;'Data Points padrão'!$B:$B&amp;'Data Points padrão'!$C:$C,0))</f>
        <v>#N/A</v>
      </c>
    </row>
    <row r="4" spans="1:14" x14ac:dyDescent="0.3">
      <c r="A4" s="5">
        <v>126</v>
      </c>
      <c r="B4" s="5" t="s">
        <v>22</v>
      </c>
      <c r="C4" s="5" t="s">
        <v>607</v>
      </c>
      <c r="D4" s="5" t="s">
        <v>23</v>
      </c>
      <c r="E4" s="5" t="str" cm="1">
        <f t="array" ref="E4">INDEX('Codigos Categorias'!$C:$C,MATCH(D$1&amp;D4,'Codigos Categorias'!$A:$A&amp;'Codigos Categorias'!$B:$B,0))</f>
        <v>%aff2c6640f26210058d8ded0f1050e18</v>
      </c>
      <c r="F4" s="5" t="s">
        <v>24</v>
      </c>
      <c r="G4" s="5" t="str" cm="1">
        <f t="array" ref="G4">INDEX('Codigos Categorias'!$C:$C,MATCH(F$1&amp;F4,'Codigos Categorias'!$A:$A&amp;'Codigos Categorias'!$B:$B,0))</f>
        <v>%b1e171520ff1b204fc37ded0f1050eae</v>
      </c>
      <c r="H4" s="5" t="s">
        <v>25</v>
      </c>
      <c r="I4" s="5" t="str" cm="1">
        <f t="array" ref="I4">INDEX('Codigos Categorias'!$C:$C,MATCH(H$1&amp;H4,'Codigos Categorias'!$A:$A&amp;'Codigos Categorias'!$B:$B,0))</f>
        <v>%fabe66cb0ffe3a00cd6eded0f1050e6e</v>
      </c>
      <c r="J4" s="5" t="s">
        <v>26</v>
      </c>
      <c r="K4" s="5" t="s">
        <v>27</v>
      </c>
      <c r="L4" s="5" t="s">
        <v>28</v>
      </c>
      <c r="M4" s="5" t="str" cm="1">
        <f t="array" ref="M4">INDEX('Data Points padrão'!$D:$D,MATCH(D4&amp;F4&amp;H4,'Data Points padrão'!$A:$A&amp;'Data Points padrão'!$B:$B&amp;'Data Points padrão'!$C:$C,0))</f>
        <v>IMPORTANT: DO NOT DELETE ANY TEXT BELOW, JUST ADD RELEVANT ANSWERS!!!
Fill in for 20H2 rollback request (Otherwise skip): 
Client name:
Device Mac address: 
Reason why 20H2 rollback is required: not required</v>
      </c>
    </row>
    <row r="5" spans="1:14" x14ac:dyDescent="0.3">
      <c r="A5" s="5">
        <v>7</v>
      </c>
      <c r="B5" s="5" t="s">
        <v>29</v>
      </c>
      <c r="C5" s="5" t="s">
        <v>30</v>
      </c>
      <c r="D5" s="5" t="s">
        <v>23</v>
      </c>
      <c r="E5" s="5" t="str" cm="1">
        <f t="array" ref="E5">INDEX('Codigos Categorias'!$C:$C,MATCH(D$1&amp;D5,'Codigos Categorias'!$A:$A&amp;'Codigos Categorias'!$B:$B,0))</f>
        <v>%aff2c6640f26210058d8ded0f1050e18</v>
      </c>
      <c r="F5" s="5" t="s">
        <v>31</v>
      </c>
      <c r="G5" s="5" t="str" cm="1">
        <f t="array" ref="G5">INDEX('Codigos Categorias'!$C:$C,MATCH(F$1&amp;F5,'Codigos Categorias'!$A:$A&amp;'Codigos Categorias'!$B:$B,0))</f>
        <v>%2bf2c6640f26210058d8ded0f1050e1b</v>
      </c>
      <c r="H5" s="5" t="s">
        <v>261</v>
      </c>
      <c r="I5" s="5" t="str" cm="1">
        <f t="array" ref="I5">INDEX('Codigos Categorias'!$C:$C,MATCH(H$1&amp;H5,'Codigos Categorias'!$A:$A&amp;'Codigos Categorias'!$B:$B,0))</f>
        <v>%b8fffd4a0fbd0200b4d0b37ce1050efc</v>
      </c>
      <c r="K5" s="5" t="s">
        <v>33</v>
      </c>
      <c r="L5" s="5" t="s">
        <v>34</v>
      </c>
      <c r="M5" s="5" t="e" cm="1">
        <f t="array" ref="M5">INDEX('Data Points padrão'!$D:$D,MATCH(D5&amp;F5&amp;H5,'Data Points padrão'!$A:$A&amp;'Data Points padrão'!$B:$B&amp;'Data Points padrão'!$C:$C,0))</f>
        <v>#N/A</v>
      </c>
    </row>
    <row r="6" spans="1:14" x14ac:dyDescent="0.3">
      <c r="A6" s="5">
        <v>1</v>
      </c>
      <c r="B6" s="5" t="s">
        <v>35</v>
      </c>
      <c r="C6" s="5" t="s">
        <v>36</v>
      </c>
      <c r="D6" s="5" t="s">
        <v>37</v>
      </c>
      <c r="E6" s="5" t="str" cm="1">
        <f t="array" ref="E6">INDEX('Codigos Categorias'!$C:$C,MATCH(D$1&amp;D6,'Codigos Categorias'!$A:$A&amp;'Codigos Categorias'!$B:$B,0))</f>
        <v>%6bf2c6640f26210058d8ded0f1050e17</v>
      </c>
      <c r="F6" s="5" t="s">
        <v>38</v>
      </c>
      <c r="G6" s="5" t="str" cm="1">
        <f t="array" ref="G6">INDEX('Codigos Categorias'!$C:$C,MATCH(F$1&amp;F6,'Codigos Categorias'!$A:$A&amp;'Codigos Categorias'!$B:$B,0))</f>
        <v>%af6148670fb42e440010c1cce1050ed0</v>
      </c>
      <c r="H6" s="5" t="s">
        <v>39</v>
      </c>
      <c r="I6" s="5" t="str" cm="1">
        <f t="array" ref="I6">INDEX('Codigos Categorias'!$C:$C,MATCH(H$1&amp;H6,'Codigos Categorias'!$A:$A&amp;'Codigos Categorias'!$B:$B,0))</f>
        <v>%8e2348eb0fb42e440010c1cce1050efb</v>
      </c>
      <c r="J6" s="5" t="s">
        <v>40</v>
      </c>
      <c r="K6" s="5" t="s">
        <v>41</v>
      </c>
      <c r="L6" s="5" t="s">
        <v>42</v>
      </c>
      <c r="M6" s="5" t="e" cm="1">
        <f t="array" ref="M6">INDEX('Data Points padrão'!$D:$D,MATCH(D6&amp;F6&amp;H6,'Data Points padrão'!$A:$A&amp;'Data Points padrão'!$B:$B&amp;'Data Points padrão'!$C:$C,0))</f>
        <v>#N/A</v>
      </c>
    </row>
    <row r="7" spans="1:14" x14ac:dyDescent="0.3">
      <c r="A7" s="5">
        <v>51</v>
      </c>
      <c r="B7" s="5" t="s">
        <v>43</v>
      </c>
      <c r="C7" s="5" t="s">
        <v>607</v>
      </c>
      <c r="D7" s="5" t="s">
        <v>44</v>
      </c>
      <c r="E7" s="5" t="str" cm="1">
        <f t="array" ref="E7">INDEX('Codigos Categorias'!$C:$C,MATCH(D$1&amp;D7,'Codigos Categorias'!$A:$A&amp;'Codigos Categorias'!$B:$B,0))</f>
        <v>%e7f2c6640f26210058d8ded0f1050e18</v>
      </c>
      <c r="F7" s="5" t="s">
        <v>45</v>
      </c>
      <c r="G7" s="5" t="str" cm="1">
        <f t="array" ref="G7">INDEX('Codigos Categorias'!$C:$C,MATCH(F$1&amp;F7,'Codigos Categorias'!$A:$A&amp;'Codigos Categorias'!$B:$B,0))</f>
        <v>%6ff2c6640f26210058d8ded0f1050e18</v>
      </c>
      <c r="H7" s="5" t="s">
        <v>46</v>
      </c>
      <c r="I7" s="5" t="str" cm="1">
        <f t="array" ref="I7">INDEX('Codigos Categorias'!$C:$C,MATCH(H$1&amp;H7,'Codigos Categorias'!$A:$A&amp;'Codigos Categorias'!$B:$B,0))</f>
        <v>%790cd201dbdf73808f71e6ab0b961996</v>
      </c>
      <c r="K7" s="5" t="s">
        <v>47</v>
      </c>
      <c r="L7" s="5" t="s">
        <v>48</v>
      </c>
      <c r="M7" s="5" t="e" cm="1">
        <f t="array" ref="M7">INDEX('Data Points padrão'!$D:$D,MATCH(D7&amp;F7&amp;H7,'Data Points padrão'!$A:$A&amp;'Data Points padrão'!$B:$B&amp;'Data Points padrão'!$C:$C,0))</f>
        <v>#N/A</v>
      </c>
      <c r="N7" s="5" t="s">
        <v>49</v>
      </c>
    </row>
    <row r="8" spans="1:14" x14ac:dyDescent="0.3">
      <c r="B8" s="5" t="s">
        <v>50</v>
      </c>
      <c r="D8" s="5" t="s">
        <v>23</v>
      </c>
      <c r="E8" s="5" t="str" cm="1">
        <f t="array" ref="E8">INDEX('Codigos Categorias'!$C:$C,MATCH(D$1&amp;D8,'Codigos Categorias'!$A:$A&amp;'Codigos Categorias'!$B:$B,0))</f>
        <v>%aff2c6640f26210058d8ded0f1050e18</v>
      </c>
      <c r="F8" s="5" t="s">
        <v>24</v>
      </c>
      <c r="G8" s="5" t="str" cm="1">
        <f t="array" ref="G8">INDEX('Codigos Categorias'!$C:$C,MATCH(F$1&amp;F8,'Codigos Categorias'!$A:$A&amp;'Codigos Categorias'!$B:$B,0))</f>
        <v>%b1e171520ff1b204fc37ded0f1050eae</v>
      </c>
      <c r="H8" s="5" t="s">
        <v>51</v>
      </c>
      <c r="I8" s="5" t="str" cm="1">
        <f t="array" ref="I8">INDEX('Codigos Categorias'!$C:$C,MATCH(H$1&amp;H8,'Codigos Categorias'!$A:$A&amp;'Codigos Categorias'!$B:$B,0))</f>
        <v>%8f8e62cb0ffe3a00cd6eded0f1050e6b</v>
      </c>
      <c r="K8" s="5" t="s">
        <v>52</v>
      </c>
      <c r="L8" s="5" t="s">
        <v>53</v>
      </c>
      <c r="M8" s="5" t="e" cm="1">
        <f t="array" ref="M8">INDEX('Data Points padrão'!$D:$D,MATCH(D8&amp;F8&amp;H8,'Data Points padrão'!$A:$A&amp;'Data Points padrão'!$B:$B&amp;'Data Points padrão'!$C:$C,0))</f>
        <v>#N/A</v>
      </c>
    </row>
    <row r="9" spans="1:14" x14ac:dyDescent="0.3">
      <c r="A9" s="5">
        <v>2</v>
      </c>
      <c r="B9" s="5" t="s">
        <v>54</v>
      </c>
      <c r="D9" s="5" t="s">
        <v>15</v>
      </c>
      <c r="E9" s="5" t="str" cm="1">
        <f t="array" ref="E9">INDEX('Codigos Categorias'!$C:$C,MATCH(D$1&amp;D9,'Codigos Categorias'!$A:$A&amp;'Codigos Categorias'!$B:$B,0))</f>
        <v>%93f2c6640f26210058d8ded0f1050e12</v>
      </c>
      <c r="F9" s="5" t="s">
        <v>16</v>
      </c>
      <c r="G9" s="5" t="str" cm="1">
        <f t="array" ref="G9">INDEX('Codigos Categorias'!$C:$C,MATCH(F$1&amp;F9,'Codigos Categorias'!$A:$A&amp;'Codigos Categorias'!$B:$B,0))</f>
        <v>%a3f2c6640f26210058d8ded0f1050e1b</v>
      </c>
      <c r="H9" s="5" t="s">
        <v>55</v>
      </c>
      <c r="I9" s="5" t="str" cm="1">
        <f t="array" ref="I9">INDEX('Codigos Categorias'!$C:$C,MATCH(H$1&amp;H9,'Codigos Categorias'!$A:$A&amp;'Codigos Categorias'!$B:$B,0))</f>
        <v>%1f04636bdbd83b007f4f5b06ca96196a</v>
      </c>
      <c r="K9" s="5" t="s">
        <v>54</v>
      </c>
      <c r="L9" s="5" t="s">
        <v>56</v>
      </c>
      <c r="M9" s="5" t="str" cm="1">
        <f t="array" ref="M9">INDEX('Data Points padrão'!$D:$D,MATCH(D9&amp;F9&amp;H9,'Data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row>
    <row r="10" spans="1:14" x14ac:dyDescent="0.3">
      <c r="A10" s="5">
        <v>1</v>
      </c>
      <c r="B10" s="5" t="s">
        <v>57</v>
      </c>
      <c r="D10" s="5" t="s">
        <v>44</v>
      </c>
      <c r="E10" s="5" t="str" cm="1">
        <f t="array" ref="E10">INDEX('Codigos Categorias'!$C:$C,MATCH(D$1&amp;D10,'Codigos Categorias'!$A:$A&amp;'Codigos Categorias'!$B:$B,0))</f>
        <v>%e7f2c6640f26210058d8ded0f1050e18</v>
      </c>
      <c r="F10" s="5" t="s">
        <v>45</v>
      </c>
      <c r="G10" s="5" t="str" cm="1">
        <f t="array" ref="G10">INDEX('Codigos Categorias'!$C:$C,MATCH(F$1&amp;F10,'Codigos Categorias'!$A:$A&amp;'Codigos Categorias'!$B:$B,0))</f>
        <v>%6ff2c6640f26210058d8ded0f1050e18</v>
      </c>
      <c r="H10" s="5" t="s">
        <v>46</v>
      </c>
      <c r="I10" s="5" t="str" cm="1">
        <f t="array" ref="I10">INDEX('Codigos Categorias'!$C:$C,MATCH(H$1&amp;H10,'Codigos Categorias'!$A:$A&amp;'Codigos Categorias'!$B:$B,0))</f>
        <v>%790cd201dbdf73808f71e6ab0b961996</v>
      </c>
      <c r="K10" s="5" t="s">
        <v>57</v>
      </c>
      <c r="L10" s="5" t="s">
        <v>892</v>
      </c>
      <c r="M10" s="5" t="e" cm="1">
        <f t="array" ref="M10">INDEX('Data Points padrão'!$D:$D,MATCH(D10&amp;F10&amp;H10,'Data Points padrão'!$A:$A&amp;'Data Points padrão'!$B:$B&amp;'Data Points padrão'!$C:$C,0))</f>
        <v>#N/A</v>
      </c>
      <c r="N10" s="5" t="s">
        <v>49</v>
      </c>
    </row>
    <row r="11" spans="1:14" x14ac:dyDescent="0.3">
      <c r="B11" s="5" t="s">
        <v>58</v>
      </c>
      <c r="D11" s="5" t="s">
        <v>59</v>
      </c>
      <c r="E11" s="5" t="str" cm="1">
        <f t="array" ref="E11">INDEX('Codigos Categorias'!$C:$C,MATCH(D$1&amp;D11,'Codigos Categorias'!$A:$A&amp;'Codigos Categorias'!$B:$B,0))</f>
        <v>%dff2c6640f26210058d8ded0f1050e12</v>
      </c>
      <c r="F11" s="5" t="s">
        <v>60</v>
      </c>
      <c r="G11" s="5" t="str" cm="1">
        <f t="array" ref="G11">INDEX('Codigos Categorias'!$C:$C,MATCH(F$1&amp;F11,'Codigos Categorias'!$A:$A&amp;'Codigos Categorias'!$B:$B,0))</f>
        <v>%df130275db2f6f001523e6ab0b961944</v>
      </c>
      <c r="H11" s="5" t="s">
        <v>61</v>
      </c>
      <c r="I11" s="5" t="str" cm="1">
        <f t="array" ref="I11">INDEX('Codigos Categorias'!$C:$C,MATCH(H$1&amp;H11,'Codigos Categorias'!$A:$A&amp;'Codigos Categorias'!$B:$B,0))</f>
        <v>%1b60a29edbe49090baaee7ba48961940</v>
      </c>
      <c r="K11" s="5" t="s">
        <v>58</v>
      </c>
      <c r="L11" s="5" t="s">
        <v>62</v>
      </c>
      <c r="M11" s="5" t="str" cm="1">
        <f t="array" ref="M11">INDEX('Data Points padrão'!$D:$D,MATCH(D11&amp;F11&amp;H11,'Data Points padrão'!$A:$A&amp;'Data Points padrão'!$B:$B&amp;'Data Points padrão'!$C:$C,0))</f>
        <v>IMPORTANT: DO NOT DELETE ANY TEXT BELOW, JUST ADD RELEVANT ANSWERS !!!
Has OneDrive being reset? (YES/NO): no
At which steps of KB/TS it failed:
Troubleshooting steps performed:</v>
      </c>
      <c r="N11" s="5" t="s">
        <v>49</v>
      </c>
    </row>
    <row r="12" spans="1:14" x14ac:dyDescent="0.3">
      <c r="A12" s="5">
        <v>1</v>
      </c>
      <c r="B12" s="5" t="s">
        <v>63</v>
      </c>
      <c r="D12" s="5" t="s">
        <v>23</v>
      </c>
      <c r="E12" s="5" t="str" cm="1">
        <f t="array" ref="E12">INDEX('Codigos Categorias'!$C:$C,MATCH(D$1&amp;D12,'Codigos Categorias'!$A:$A&amp;'Codigos Categorias'!$B:$B,0))</f>
        <v>%aff2c6640f26210058d8ded0f1050e18</v>
      </c>
      <c r="F12" s="5" t="s">
        <v>24</v>
      </c>
      <c r="G12" s="5" t="str" cm="1">
        <f t="array" ref="G12">INDEX('Codigos Categorias'!$C:$C,MATCH(F$1&amp;F12,'Codigos Categorias'!$A:$A&amp;'Codigos Categorias'!$B:$B,0))</f>
        <v>%b1e171520ff1b204fc37ded0f1050eae</v>
      </c>
      <c r="H12" s="5" t="s">
        <v>64</v>
      </c>
      <c r="I12" s="5" t="str" cm="1">
        <f t="array" ref="I12">INDEX('Codigos Categorias'!$C:$C,MATCH(H$1&amp;H12,'Codigos Categorias'!$A:$A&amp;'Codigos Categorias'!$B:$B,0))</f>
        <v>%cc8d67f9dbda2fc01523e6ab0b961911</v>
      </c>
      <c r="K12" s="5" t="s">
        <v>33</v>
      </c>
      <c r="L12" s="5" t="s">
        <v>65</v>
      </c>
      <c r="M12" s="5" t="e" cm="1">
        <f t="array" ref="M12">INDEX('Data Points padrão'!$D:$D,MATCH(D12&amp;F12&amp;H12,'Data Points padrão'!$A:$A&amp;'Data Points padrão'!$B:$B&amp;'Data Points padrão'!$C:$C,0))</f>
        <v>#N/A</v>
      </c>
    </row>
    <row r="13" spans="1:14" x14ac:dyDescent="0.3">
      <c r="B13" s="5" t="s">
        <v>66</v>
      </c>
      <c r="D13" s="5" t="s">
        <v>23</v>
      </c>
      <c r="E13" s="5" t="str" cm="1">
        <f t="array" ref="E13">INDEX('Codigos Categorias'!$C:$C,MATCH(D$1&amp;D13,'Codigos Categorias'!$A:$A&amp;'Codigos Categorias'!$B:$B,0))</f>
        <v>%aff2c6640f26210058d8ded0f1050e18</v>
      </c>
      <c r="F13" s="5" t="s">
        <v>24</v>
      </c>
      <c r="G13" s="5" t="str" cm="1">
        <f t="array" ref="G13">INDEX('Codigos Categorias'!$C:$C,MATCH(F$1&amp;F13,'Codigos Categorias'!$A:$A&amp;'Codigos Categorias'!$B:$B,0))</f>
        <v>%b1e171520ff1b204fc37ded0f1050eae</v>
      </c>
      <c r="H13" s="5" t="s">
        <v>67</v>
      </c>
      <c r="I13" s="5" t="str" cm="1">
        <f t="array" ref="I13">INDEX('Codigos Categorias'!$C:$C,MATCH(H$1&amp;H13,'Codigos Categorias'!$A:$A&amp;'Codigos Categorias'!$B:$B,0))</f>
        <v>%416ac46fdb032fcc1523e6ab0b9619f2</v>
      </c>
      <c r="K13" s="5" t="s">
        <v>66</v>
      </c>
      <c r="L13" s="5" t="s">
        <v>68</v>
      </c>
      <c r="M13" s="5" t="str" cm="1">
        <f t="array" ref="M13">INDEX('Data Points padrão'!$D:$D,MATCH(D13&amp;F13&amp;H13,'Data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14" spans="1:14" x14ac:dyDescent="0.3">
      <c r="A14" s="5">
        <v>10</v>
      </c>
      <c r="B14" s="5" t="s">
        <v>69</v>
      </c>
      <c r="D14" s="5" t="s">
        <v>23</v>
      </c>
      <c r="E14" s="5" t="str" cm="1">
        <f t="array" ref="E14">INDEX('Codigos Categorias'!$C:$C,MATCH(D$1&amp;D14,'Codigos Categorias'!$A:$A&amp;'Codigos Categorias'!$B:$B,0))</f>
        <v>%aff2c6640f26210058d8ded0f1050e18</v>
      </c>
      <c r="F14" s="5" t="s">
        <v>24</v>
      </c>
      <c r="G14" s="5" t="str" cm="1">
        <f t="array" ref="G14">INDEX('Codigos Categorias'!$C:$C,MATCH(F$1&amp;F14,'Codigos Categorias'!$A:$A&amp;'Codigos Categorias'!$B:$B,0))</f>
        <v>%b1e171520ff1b204fc37ded0f1050eae</v>
      </c>
      <c r="H14" s="5" t="s">
        <v>67</v>
      </c>
      <c r="I14" s="5" t="str" cm="1">
        <f t="array" ref="I14">INDEX('Codigos Categorias'!$C:$C,MATCH(H$1&amp;H14,'Codigos Categorias'!$A:$A&amp;'Codigos Categorias'!$B:$B,0))</f>
        <v>%416ac46fdb032fcc1523e6ab0b9619f2</v>
      </c>
      <c r="K14" s="5" t="s">
        <v>70</v>
      </c>
      <c r="L14" s="5" t="s">
        <v>71</v>
      </c>
      <c r="M14" s="5" t="str" cm="1">
        <f t="array" ref="M14">INDEX('Data Points padrão'!$D:$D,MATCH(D14&amp;F14&amp;H14,'Data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15" spans="1:14" x14ac:dyDescent="0.3">
      <c r="A15" s="5">
        <v>36</v>
      </c>
      <c r="B15" s="5" t="s">
        <v>72</v>
      </c>
      <c r="D15" s="5" t="s">
        <v>44</v>
      </c>
      <c r="E15" s="5" t="str" cm="1">
        <f t="array" ref="E15">INDEX('Codigos Categorias'!$C:$C,MATCH(D$1&amp;D15,'Codigos Categorias'!$A:$A&amp;'Codigos Categorias'!$B:$B,0))</f>
        <v>%e7f2c6640f26210058d8ded0f1050e18</v>
      </c>
      <c r="F15" s="5" t="s">
        <v>73</v>
      </c>
      <c r="G15" s="5" t="str" cm="1">
        <f t="array" ref="G15">INDEX('Codigos Categorias'!$C:$C,MATCH(F$1&amp;F15,'Codigos Categorias'!$A:$A&amp;'Codigos Categorias'!$B:$B,0))</f>
        <v>%6bf2c6640f26210058d8ded0f1050e18</v>
      </c>
      <c r="H15" s="5" t="s">
        <v>637</v>
      </c>
      <c r="I15" s="5" t="str" cm="1">
        <f t="array" ref="I15">INDEX('Codigos Categorias'!$C:$C,MATCH(H$1&amp;H15,'Codigos Categorias'!$A:$A&amp;'Codigos Categorias'!$B:$B,0))</f>
        <v>%647057fc0f12c2006bdcb47ce1050e0b</v>
      </c>
      <c r="J15" s="5" t="s">
        <v>74</v>
      </c>
      <c r="K15" s="5" t="s">
        <v>72</v>
      </c>
      <c r="L15" s="5" t="s">
        <v>75</v>
      </c>
      <c r="M15" s="5" t="str" cm="1">
        <f t="array" ref="M15">INDEX('Data Points padrão'!$D:$D,MATCH(D15&amp;F15&amp;H15,'Data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v>
      </c>
      <c r="N15" s="5" t="s">
        <v>49</v>
      </c>
    </row>
    <row r="16" spans="1:14" x14ac:dyDescent="0.3">
      <c r="B16" s="5" t="s">
        <v>76</v>
      </c>
      <c r="D16" s="5" t="s">
        <v>23</v>
      </c>
      <c r="E16" s="5" t="str" cm="1">
        <f t="array" ref="E16">INDEX('Codigos Categorias'!$C:$C,MATCH(D$1&amp;D16,'Codigos Categorias'!$A:$A&amp;'Codigos Categorias'!$B:$B,0))</f>
        <v>%aff2c6640f26210058d8ded0f1050e18</v>
      </c>
      <c r="F16" s="5" t="s">
        <v>31</v>
      </c>
      <c r="G16" s="5" t="str" cm="1">
        <f t="array" ref="G16">INDEX('Codigos Categorias'!$C:$C,MATCH(F$1&amp;F16,'Codigos Categorias'!$A:$A&amp;'Codigos Categorias'!$B:$B,0))</f>
        <v>%2bf2c6640f26210058d8ded0f1050e1b</v>
      </c>
      <c r="H16" s="5" t="s">
        <v>32</v>
      </c>
      <c r="I16" s="5" t="str" cm="1">
        <f t="array" ref="I16">INDEX('Codigos Categorias'!$C:$C,MATCH(H$1&amp;H16,'Codigos Categorias'!$A:$A&amp;'Codigos Categorias'!$B:$B,0))</f>
        <v>%ebf2c6640f26210058d8ded0f1050e1b</v>
      </c>
      <c r="K16" s="5" t="s">
        <v>77</v>
      </c>
      <c r="L16" s="5" t="s">
        <v>78</v>
      </c>
      <c r="M16" s="5" t="e" cm="1">
        <f t="array" ref="M16">INDEX('Data Points padrão'!$D:$D,MATCH(D16&amp;F16&amp;H16,'Data Points padrão'!$A:$A&amp;'Data Points padrão'!$B:$B&amp;'Data Points padrão'!$C:$C,0))</f>
        <v>#N/A</v>
      </c>
    </row>
    <row r="17" spans="1:14" x14ac:dyDescent="0.3">
      <c r="A17" s="5">
        <v>9</v>
      </c>
      <c r="B17" s="5" t="s">
        <v>79</v>
      </c>
      <c r="D17" s="5" t="s">
        <v>80</v>
      </c>
      <c r="E17" s="5" t="str" cm="1">
        <f t="array" ref="E17">INDEX('Codigos Categorias'!$C:$C,MATCH(D$1&amp;D17,'Codigos Categorias'!$A:$A&amp;'Codigos Categorias'!$B:$B,0))</f>
        <v>%13f2c6640f26210058d8ded0f1050e16</v>
      </c>
      <c r="F17" s="5" t="s">
        <v>81</v>
      </c>
      <c r="G17" s="5" t="str" cm="1">
        <f t="array" ref="G17">INDEX('Codigos Categorias'!$C:$C,MATCH(F$1&amp;F17,'Codigos Categorias'!$A:$A&amp;'Codigos Categorias'!$B:$B,0))</f>
        <v>%93f2c6640f26210058d8ded0f1050e16</v>
      </c>
      <c r="H17" s="5" t="s">
        <v>82</v>
      </c>
      <c r="I17" s="5" t="str" cm="1">
        <f t="array" ref="I17">INDEX('Codigos Categorias'!$C:$C,MATCH(H$1&amp;H17,'Codigos Categorias'!$A:$A&amp;'Codigos Categorias'!$B:$B,0))</f>
        <v>%17f2c6640f26210058d8ded0f1050e16</v>
      </c>
      <c r="K17" s="5" t="s">
        <v>83</v>
      </c>
      <c r="L17" s="5" t="s">
        <v>84</v>
      </c>
      <c r="M17" s="5" t="str" cm="1">
        <f t="array" ref="M17">INDEX('Data Points padrão'!$D:$D,MATCH(D17&amp;F17&amp;H17,'Data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17" s="5" t="s">
        <v>85</v>
      </c>
    </row>
    <row r="18" spans="1:14" x14ac:dyDescent="0.3">
      <c r="A18" s="5">
        <v>3</v>
      </c>
      <c r="B18" s="5" t="s">
        <v>86</v>
      </c>
      <c r="D18" s="5" t="s">
        <v>23</v>
      </c>
      <c r="E18" s="5" t="str" cm="1">
        <f t="array" ref="E18">INDEX('Codigos Categorias'!$C:$C,MATCH(D$1&amp;D18,'Codigos Categorias'!$A:$A&amp;'Codigos Categorias'!$B:$B,0))</f>
        <v>%aff2c6640f26210058d8ded0f1050e18</v>
      </c>
      <c r="F18" s="5" t="s">
        <v>24</v>
      </c>
      <c r="G18" s="5" t="str" cm="1">
        <f t="array" ref="G18">INDEX('Codigos Categorias'!$C:$C,MATCH(F$1&amp;F18,'Codigos Categorias'!$A:$A&amp;'Codigos Categorias'!$B:$B,0))</f>
        <v>%b1e171520ff1b204fc37ded0f1050eae</v>
      </c>
      <c r="H18" s="5" t="s">
        <v>87</v>
      </c>
      <c r="I18" s="5" t="str" cm="1">
        <f t="array" ref="I18">INDEX('Codigos Categorias'!$C:$C,MATCH(H$1&amp;H18,'Codigos Categorias'!$A:$A&amp;'Codigos Categorias'!$B:$B,0))</f>
        <v>%67ed23bddbda2fc01523e6ab0b96195d</v>
      </c>
      <c r="K18" s="5" t="s">
        <v>88</v>
      </c>
      <c r="L18" s="5" t="s">
        <v>89</v>
      </c>
      <c r="M18" s="5" t="str" cm="1">
        <f t="array" ref="M18">INDEX('Data Points padrão'!$D:$D,MATCH(D18&amp;F18&amp;H18,'Data Points padrão'!$A:$A&amp;'Data Points padrão'!$B:$B&amp;'Data Points padrão'!$C:$C,0))</f>
        <v>IMPORTANT: DO NOT DELETE ANY TEXT BELOW, JUST ADD RELEVANT ANSWERS!!!
Fill in ONLY if Issue is NOT SOLVED &amp; ticket needs to be dispatched (Otherwise skip): 
UCMS logfile attached, see KB0014119? (YES/NO): no</v>
      </c>
      <c r="N18" s="5" t="s">
        <v>49</v>
      </c>
    </row>
    <row r="19" spans="1:14" x14ac:dyDescent="0.3">
      <c r="A19" s="5">
        <v>1</v>
      </c>
      <c r="B19" s="5" t="s">
        <v>90</v>
      </c>
      <c r="C19" s="5" t="s">
        <v>607</v>
      </c>
      <c r="D19" s="5" t="s">
        <v>23</v>
      </c>
      <c r="E19" s="5" t="str" cm="1">
        <f t="array" ref="E19">INDEX('Codigos Categorias'!$C:$C,MATCH(D$1&amp;D19,'Codigos Categorias'!$A:$A&amp;'Codigos Categorias'!$B:$B,0))</f>
        <v>%aff2c6640f26210058d8ded0f1050e18</v>
      </c>
      <c r="F19" s="5" t="s">
        <v>24</v>
      </c>
      <c r="G19" s="5" t="str" cm="1">
        <f t="array" ref="G19">INDEX('Codigos Categorias'!$C:$C,MATCH(F$1&amp;F19,'Codigos Categorias'!$A:$A&amp;'Codigos Categorias'!$B:$B,0))</f>
        <v>%b1e171520ff1b204fc37ded0f1050eae</v>
      </c>
      <c r="H19" s="5" t="s">
        <v>25</v>
      </c>
      <c r="I19" s="5" t="str" cm="1">
        <f t="array" ref="I19">INDEX('Codigos Categorias'!$C:$C,MATCH(H$1&amp;H19,'Codigos Categorias'!$A:$A&amp;'Codigos Categorias'!$B:$B,0))</f>
        <v>%fabe66cb0ffe3a00cd6eded0f1050e6e</v>
      </c>
      <c r="J19" s="5" t="s">
        <v>26</v>
      </c>
      <c r="K19" s="5" t="s">
        <v>90</v>
      </c>
      <c r="L19" s="5" t="s">
        <v>91</v>
      </c>
      <c r="M19" s="5" t="str" cm="1">
        <f t="array" ref="M19">INDEX('Data Points padrão'!$D:$D,MATCH(D19&amp;F19&amp;H19,'Data Points padrão'!$A:$A&amp;'Data Points padrão'!$B:$B&amp;'Data Points padrão'!$C:$C,0))</f>
        <v>IMPORTANT: DO NOT DELETE ANY TEXT BELOW, JUST ADD RELEVANT ANSWERS!!!
Fill in for 20H2 rollback request (Otherwise skip): 
Client name:
Device Mac address: 
Reason why 20H2 rollback is required: not required</v>
      </c>
    </row>
    <row r="20" spans="1:14" x14ac:dyDescent="0.3">
      <c r="A20" s="5">
        <v>4</v>
      </c>
      <c r="B20" s="5" t="s">
        <v>92</v>
      </c>
      <c r="D20" s="5" t="s">
        <v>80</v>
      </c>
      <c r="E20" s="5" t="str" cm="1">
        <f t="array" ref="E20">INDEX('Codigos Categorias'!$C:$C,MATCH(D$1&amp;D20,'Codigos Categorias'!$A:$A&amp;'Codigos Categorias'!$B:$B,0))</f>
        <v>%13f2c6640f26210058d8ded0f1050e16</v>
      </c>
      <c r="F20" s="5" t="s">
        <v>93</v>
      </c>
      <c r="G20" s="5" t="str" cm="1">
        <f t="array" ref="G20">INDEX('Codigos Categorias'!$C:$C,MATCH(F$1&amp;F20,'Codigos Categorias'!$A:$A&amp;'Codigos Categorias'!$B:$B,0))</f>
        <v>%23f2c6640f26210058d8ded0f1050e17</v>
      </c>
      <c r="H20" s="5" t="s">
        <v>94</v>
      </c>
      <c r="I20" s="5" t="str" cm="1">
        <f t="array" ref="I20">INDEX('Codigos Categorias'!$C:$C,MATCH(H$1&amp;H20,'Codigos Categorias'!$A:$A&amp;'Codigos Categorias'!$B:$B,0))</f>
        <v>%0e2caaff0f42f1002294c1cce1050ed7</v>
      </c>
      <c r="K20" s="5" t="s">
        <v>92</v>
      </c>
      <c r="L20" s="5" t="s">
        <v>95</v>
      </c>
      <c r="M20" s="5" t="e" cm="1">
        <f t="array" ref="M20">INDEX('Data Points padrão'!$D:$D,MATCH(D20&amp;F20&amp;H20,'Data Points padrão'!$A:$A&amp;'Data Points padrão'!$B:$B&amp;'Data Points padrão'!$C:$C,0))</f>
        <v>#N/A</v>
      </c>
      <c r="N20" s="5" t="s">
        <v>85</v>
      </c>
    </row>
    <row r="21" spans="1:14" x14ac:dyDescent="0.3">
      <c r="A21" s="5">
        <v>4</v>
      </c>
      <c r="B21" s="5" t="s">
        <v>96</v>
      </c>
      <c r="D21" s="5" t="s">
        <v>23</v>
      </c>
      <c r="E21" s="5" t="str" cm="1">
        <f t="array" ref="E21">INDEX('Codigos Categorias'!$C:$C,MATCH(D$1&amp;D21,'Codigos Categorias'!$A:$A&amp;'Codigos Categorias'!$B:$B,0))</f>
        <v>%aff2c6640f26210058d8ded0f1050e18</v>
      </c>
      <c r="F21" s="5" t="s">
        <v>24</v>
      </c>
      <c r="G21" s="5" t="str" cm="1">
        <f t="array" ref="G21">INDEX('Codigos Categorias'!$C:$C,MATCH(F$1&amp;F21,'Codigos Categorias'!$A:$A&amp;'Codigos Categorias'!$B:$B,0))</f>
        <v>%b1e171520ff1b204fc37ded0f1050eae</v>
      </c>
      <c r="H21" s="5" t="s">
        <v>97</v>
      </c>
      <c r="I21" s="5" t="str" cm="1">
        <f t="array" ref="I21">INDEX('Codigos Categorias'!$C:$C,MATCH(H$1&amp;H21,'Codigos Categorias'!$A:$A&amp;'Codigos Categorias'!$B:$B,0))</f>
        <v>%cd5e668b0ffe3a00cd6eded0f1050ed5</v>
      </c>
      <c r="K21" s="5" t="s">
        <v>96</v>
      </c>
      <c r="L21" s="5" t="s">
        <v>98</v>
      </c>
      <c r="M21" s="5" t="str" cm="1">
        <f t="array" ref="M21">INDEX('Data Points padrão'!$D:$D,MATCH(D21&amp;F21&amp;H21,'Data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21" s="5" t="s">
        <v>49</v>
      </c>
    </row>
    <row r="22" spans="1:14" x14ac:dyDescent="0.3">
      <c r="A22" s="5">
        <v>2</v>
      </c>
      <c r="B22" s="5" t="s">
        <v>99</v>
      </c>
      <c r="D22" s="5" t="s">
        <v>23</v>
      </c>
      <c r="E22" s="5" t="str" cm="1">
        <f t="array" ref="E22">INDEX('Codigos Categorias'!$C:$C,MATCH(D$1&amp;D22,'Codigos Categorias'!$A:$A&amp;'Codigos Categorias'!$B:$B,0))</f>
        <v>%aff2c6640f26210058d8ded0f1050e18</v>
      </c>
      <c r="F22" s="5" t="s">
        <v>24</v>
      </c>
      <c r="G22" s="5" t="str" cm="1">
        <f t="array" ref="G22">INDEX('Codigos Categorias'!$C:$C,MATCH(F$1&amp;F22,'Codigos Categorias'!$A:$A&amp;'Codigos Categorias'!$B:$B,0))</f>
        <v>%b1e171520ff1b204fc37ded0f1050eae</v>
      </c>
      <c r="H22" s="5" t="s">
        <v>87</v>
      </c>
      <c r="I22" s="5" t="str" cm="1">
        <f t="array" ref="I22">INDEX('Codigos Categorias'!$C:$C,MATCH(H$1&amp;H22,'Codigos Categorias'!$A:$A&amp;'Codigos Categorias'!$B:$B,0))</f>
        <v>%67ed23bddbda2fc01523e6ab0b96195d</v>
      </c>
      <c r="K22" s="5" t="s">
        <v>99</v>
      </c>
      <c r="L22" s="5" t="s">
        <v>100</v>
      </c>
      <c r="M22" s="5" t="str" cm="1">
        <f t="array" ref="M22">INDEX('Data Points padrão'!$D:$D,MATCH(D22&amp;F22&amp;H22,'Data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23" spans="1:14" x14ac:dyDescent="0.3">
      <c r="A23" s="5">
        <v>1</v>
      </c>
      <c r="B23" s="5" t="s">
        <v>101</v>
      </c>
      <c r="D23" s="5" t="s">
        <v>15</v>
      </c>
      <c r="E23" s="5" t="str" cm="1">
        <f t="array" ref="E23">INDEX('Codigos Categorias'!$C:$C,MATCH(D$1&amp;D23,'Codigos Categorias'!$A:$A&amp;'Codigos Categorias'!$B:$B,0))</f>
        <v>%93f2c6640f26210058d8ded0f1050e12</v>
      </c>
      <c r="F23" s="5" t="s">
        <v>16</v>
      </c>
      <c r="G23" s="5" t="str" cm="1">
        <f t="array" ref="G23">INDEX('Codigos Categorias'!$C:$C,MATCH(F$1&amp;F23,'Codigos Categorias'!$A:$A&amp;'Codigos Categorias'!$B:$B,0))</f>
        <v>%a3f2c6640f26210058d8ded0f1050e1b</v>
      </c>
      <c r="H23" s="5" t="s">
        <v>102</v>
      </c>
      <c r="I23" s="5" t="str" cm="1">
        <f t="array" ref="I23">INDEX('Codigos Categorias'!$C:$C,MATCH(H$1&amp;H23,'Codigos Categorias'!$A:$A&amp;'Codigos Categorias'!$B:$B,0))</f>
        <v>%111e9a3c0f9e82006bdcb47ce1050e03</v>
      </c>
      <c r="K23" s="5" t="s">
        <v>103</v>
      </c>
      <c r="L23" s="5" t="s">
        <v>104</v>
      </c>
      <c r="M23" s="5" t="str" cm="1">
        <f t="array" ref="M23">INDEX('Data Points padrão'!$D:$D,MATCH(D23&amp;F23&amp;H23,'Data Points padrão'!$A:$A&amp;'Data Points padrão'!$B:$B&amp;'Data Points padrão'!$C:$C,0))</f>
        <v>Affected Software: mentioned above</v>
      </c>
    </row>
    <row r="24" spans="1:14" x14ac:dyDescent="0.3">
      <c r="A24" s="5">
        <v>1</v>
      </c>
      <c r="B24" s="5" t="s">
        <v>105</v>
      </c>
      <c r="D24" s="5" t="s">
        <v>23</v>
      </c>
      <c r="E24" s="5" t="str" cm="1">
        <f t="array" ref="E24">INDEX('Codigos Categorias'!$C:$C,MATCH(D$1&amp;D24,'Codigos Categorias'!$A:$A&amp;'Codigos Categorias'!$B:$B,0))</f>
        <v>%aff2c6640f26210058d8ded0f1050e18</v>
      </c>
      <c r="F24" s="5" t="s">
        <v>24</v>
      </c>
      <c r="G24" s="5" t="str" cm="1">
        <f t="array" ref="G24">INDEX('Codigos Categorias'!$C:$C,MATCH(F$1&amp;F24,'Codigos Categorias'!$A:$A&amp;'Codigos Categorias'!$B:$B,0))</f>
        <v>%b1e171520ff1b204fc37ded0f1050eae</v>
      </c>
      <c r="H24" s="5" t="s">
        <v>87</v>
      </c>
      <c r="I24" s="5" t="str" cm="1">
        <f t="array" ref="I24">INDEX('Codigos Categorias'!$C:$C,MATCH(H$1&amp;H24,'Codigos Categorias'!$A:$A&amp;'Codigos Categorias'!$B:$B,0))</f>
        <v>%67ed23bddbda2fc01523e6ab0b96195d</v>
      </c>
      <c r="K24" s="5" t="s">
        <v>105</v>
      </c>
      <c r="L24" s="5" t="s">
        <v>106</v>
      </c>
      <c r="M24" s="5" t="str" cm="1">
        <f t="array" ref="M24">INDEX('Data Points padrão'!$D:$D,MATCH(D24&amp;F24&amp;H24,'Data Points padrão'!$A:$A&amp;'Data Points padrão'!$B:$B&amp;'Data Points padrão'!$C:$C,0))</f>
        <v>IMPORTANT: DO NOT DELETE ANY TEXT BELOW, JUST ADD RELEVANT ANSWERS!!!
Fill in ONLY if Issue is NOT SOLVED &amp; ticket needs to be dispatched (Otherwise skip): 
UCMS logfile attached, see KB0014119? (YES/NO): no</v>
      </c>
      <c r="N24" s="5" t="s">
        <v>49</v>
      </c>
    </row>
    <row r="25" spans="1:14" x14ac:dyDescent="0.3">
      <c r="A25" s="5">
        <v>2</v>
      </c>
      <c r="B25" s="5" t="s">
        <v>107</v>
      </c>
      <c r="D25" s="5" t="s">
        <v>15</v>
      </c>
      <c r="E25" s="5" t="str" cm="1">
        <f t="array" ref="E25">INDEX('Codigos Categorias'!$C:$C,MATCH(D$1&amp;D25,'Codigos Categorias'!$A:$A&amp;'Codigos Categorias'!$B:$B,0))</f>
        <v>%93f2c6640f26210058d8ded0f1050e12</v>
      </c>
      <c r="F25" s="5" t="s">
        <v>16</v>
      </c>
      <c r="G25" s="5" t="str" cm="1">
        <f t="array" ref="G25">INDEX('Codigos Categorias'!$C:$C,MATCH(F$1&amp;F25,'Codigos Categorias'!$A:$A&amp;'Codigos Categorias'!$B:$B,0))</f>
        <v>%a3f2c6640f26210058d8ded0f1050e1b</v>
      </c>
      <c r="H25" s="5" t="s">
        <v>55</v>
      </c>
      <c r="I25" s="5" t="str" cm="1">
        <f t="array" ref="I25">INDEX('Codigos Categorias'!$C:$C,MATCH(H$1&amp;H25,'Codigos Categorias'!$A:$A&amp;'Codigos Categorias'!$B:$B,0))</f>
        <v>%1f04636bdbd83b007f4f5b06ca96196a</v>
      </c>
      <c r="K25" s="5" t="s">
        <v>107</v>
      </c>
      <c r="L25" s="5" t="s">
        <v>108</v>
      </c>
      <c r="M25" s="5" t="str" cm="1">
        <f t="array" ref="M25">INDEX('Data Points padrão'!$D:$D,MATCH(D25&amp;F25&amp;H25,'Data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c r="N25" s="5" t="s">
        <v>49</v>
      </c>
    </row>
    <row r="26" spans="1:14" x14ac:dyDescent="0.3">
      <c r="A26" s="5">
        <v>1</v>
      </c>
      <c r="B26" s="5" t="s">
        <v>109</v>
      </c>
      <c r="D26" s="5" t="s">
        <v>110</v>
      </c>
      <c r="E26" s="5" t="str" cm="1">
        <f t="array" ref="E26">INDEX('Codigos Categorias'!$C:$C,MATCH(D$1&amp;D26,'Codigos Categorias'!$A:$A&amp;'Codigos Categorias'!$B:$B,0))</f>
        <v>%97f2c6640f26210058d8ded0f1050e15</v>
      </c>
      <c r="F26" s="5" t="s">
        <v>111</v>
      </c>
      <c r="G26" s="5" t="str" cm="1">
        <f t="array" ref="G26">INDEX('Codigos Categorias'!$C:$C,MATCH(F$1&amp;F26,'Codigos Categorias'!$A:$A&amp;'Codigos Categorias'!$B:$B,0))</f>
        <v>%e9942fe30f793100bad9ded0f1050e3a</v>
      </c>
      <c r="H26" s="5" t="s">
        <v>112</v>
      </c>
      <c r="I26" s="5" t="str" cm="1">
        <f t="array" ref="I26">INDEX('Codigos Categorias'!$C:$C,MATCH(H$1&amp;H26,'Codigos Categorias'!$A:$A&amp;'Codigos Categorias'!$B:$B,0))</f>
        <v>%250d26ecdb6e08140b68772b68961965</v>
      </c>
      <c r="K26" s="5" t="s">
        <v>109</v>
      </c>
      <c r="L26" s="5" t="s">
        <v>113</v>
      </c>
      <c r="M26" s="5" t="str" cm="1">
        <f t="array" ref="M26">INDEX('Data Points padrão'!$D:$D,MATCH(D26&amp;F26&amp;H26,'Data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row>
    <row r="27" spans="1:14" x14ac:dyDescent="0.3">
      <c r="A27" s="5">
        <v>3</v>
      </c>
      <c r="B27" s="5" t="s">
        <v>114</v>
      </c>
      <c r="D27" s="5" t="s">
        <v>44</v>
      </c>
      <c r="E27" s="5" t="str" cm="1">
        <f t="array" ref="E27">INDEX('Codigos Categorias'!$C:$C,MATCH(D$1&amp;D27,'Codigos Categorias'!$A:$A&amp;'Codigos Categorias'!$B:$B,0))</f>
        <v>%e7f2c6640f26210058d8ded0f1050e18</v>
      </c>
      <c r="F27" s="5" t="s">
        <v>45</v>
      </c>
      <c r="G27" s="5" t="str" cm="1">
        <f t="array" ref="G27">INDEX('Codigos Categorias'!$C:$C,MATCH(F$1&amp;F27,'Codigos Categorias'!$A:$A&amp;'Codigos Categorias'!$B:$B,0))</f>
        <v>%6ff2c6640f26210058d8ded0f1050e18</v>
      </c>
      <c r="H27" s="5" t="s">
        <v>46</v>
      </c>
      <c r="I27" s="5" t="str" cm="1">
        <f t="array" ref="I27">INDEX('Codigos Categorias'!$C:$C,MATCH(H$1&amp;H27,'Codigos Categorias'!$A:$A&amp;'Codigos Categorias'!$B:$B,0))</f>
        <v>%790cd201dbdf73808f71e6ab0b961996</v>
      </c>
      <c r="K27" s="5" t="s">
        <v>115</v>
      </c>
      <c r="L27" s="5" t="s">
        <v>116</v>
      </c>
      <c r="M27" s="5" t="e" cm="1">
        <f t="array" ref="M27">INDEX('Data Points padrão'!$D:$D,MATCH(D27&amp;F27&amp;H27,'Data Points padrão'!$A:$A&amp;'Data Points padrão'!$B:$B&amp;'Data Points padrão'!$C:$C,0))</f>
        <v>#N/A</v>
      </c>
    </row>
    <row r="28" spans="1:14" x14ac:dyDescent="0.3">
      <c r="A28" s="5">
        <v>2</v>
      </c>
      <c r="B28" s="5" t="s">
        <v>117</v>
      </c>
      <c r="D28" s="5" t="s">
        <v>23</v>
      </c>
      <c r="E28" s="5" t="str" cm="1">
        <f t="array" ref="E28">INDEX('Codigos Categorias'!$C:$C,MATCH(D$1&amp;D28,'Codigos Categorias'!$A:$A&amp;'Codigos Categorias'!$B:$B,0))</f>
        <v>%aff2c6640f26210058d8ded0f1050e18</v>
      </c>
      <c r="F28" s="5" t="s">
        <v>24</v>
      </c>
      <c r="G28" s="5" t="str" cm="1">
        <f t="array" ref="G28">INDEX('Codigos Categorias'!$C:$C,MATCH(F$1&amp;F28,'Codigos Categorias'!$A:$A&amp;'Codigos Categorias'!$B:$B,0))</f>
        <v>%b1e171520ff1b204fc37ded0f1050eae</v>
      </c>
      <c r="H28" s="5" t="s">
        <v>67</v>
      </c>
      <c r="I28" s="5" t="str" cm="1">
        <f t="array" ref="I28">INDEX('Codigos Categorias'!$C:$C,MATCH(H$1&amp;H28,'Codigos Categorias'!$A:$A&amp;'Codigos Categorias'!$B:$B,0))</f>
        <v>%416ac46fdb032fcc1523e6ab0b9619f2</v>
      </c>
      <c r="K28" s="5" t="s">
        <v>118</v>
      </c>
      <c r="L28" s="5" t="s">
        <v>119</v>
      </c>
      <c r="M28" s="5" t="str" cm="1">
        <f t="array" ref="M28">INDEX('Data Points padrão'!$D:$D,MATCH(D28&amp;F28&amp;H28,'Data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29" spans="1:14" x14ac:dyDescent="0.3">
      <c r="A29" s="5">
        <v>4</v>
      </c>
      <c r="B29" s="5" t="s">
        <v>120</v>
      </c>
      <c r="D29" s="5" t="s">
        <v>23</v>
      </c>
      <c r="E29" s="5" t="str" cm="1">
        <f t="array" ref="E29">INDEX('Codigos Categorias'!$C:$C,MATCH(D$1&amp;D29,'Codigos Categorias'!$A:$A&amp;'Codigos Categorias'!$B:$B,0))</f>
        <v>%aff2c6640f26210058d8ded0f1050e18</v>
      </c>
      <c r="F29" s="5" t="s">
        <v>24</v>
      </c>
      <c r="G29" s="5" t="str" cm="1">
        <f t="array" ref="G29">INDEX('Codigos Categorias'!$C:$C,MATCH(F$1&amp;F29,'Codigos Categorias'!$A:$A&amp;'Codigos Categorias'!$B:$B,0))</f>
        <v>%b1e171520ff1b204fc37ded0f1050eae</v>
      </c>
      <c r="H29" s="5" t="s">
        <v>87</v>
      </c>
      <c r="I29" s="5" t="str" cm="1">
        <f t="array" ref="I29">INDEX('Codigos Categorias'!$C:$C,MATCH(H$1&amp;H29,'Codigos Categorias'!$A:$A&amp;'Codigos Categorias'!$B:$B,0))</f>
        <v>%67ed23bddbda2fc01523e6ab0b96195d</v>
      </c>
      <c r="K29" s="5" t="s">
        <v>121</v>
      </c>
      <c r="L29" s="5" t="s">
        <v>122</v>
      </c>
      <c r="M29" s="5" t="str" cm="1">
        <f t="array" ref="M29">INDEX('Data Points padrão'!$D:$D,MATCH(D29&amp;F29&amp;H29,'Data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0" spans="1:14" x14ac:dyDescent="0.3">
      <c r="A30" s="5">
        <v>1</v>
      </c>
      <c r="B30" s="5" t="s">
        <v>123</v>
      </c>
      <c r="D30" s="5" t="s">
        <v>23</v>
      </c>
      <c r="E30" s="5" t="str" cm="1">
        <f t="array" ref="E30">INDEX('Codigos Categorias'!$C:$C,MATCH(D$1&amp;D30,'Codigos Categorias'!$A:$A&amp;'Codigos Categorias'!$B:$B,0))</f>
        <v>%aff2c6640f26210058d8ded0f1050e18</v>
      </c>
      <c r="F30" s="5" t="s">
        <v>24</v>
      </c>
      <c r="G30" s="5" t="str" cm="1">
        <f t="array" ref="G30">INDEX('Codigos Categorias'!$C:$C,MATCH(F$1&amp;F30,'Codigos Categorias'!$A:$A&amp;'Codigos Categorias'!$B:$B,0))</f>
        <v>%b1e171520ff1b204fc37ded0f1050eae</v>
      </c>
      <c r="H30" s="5" t="s">
        <v>87</v>
      </c>
      <c r="I30" s="5" t="str" cm="1">
        <f t="array" ref="I30">INDEX('Codigos Categorias'!$C:$C,MATCH(H$1&amp;H30,'Codigos Categorias'!$A:$A&amp;'Codigos Categorias'!$B:$B,0))</f>
        <v>%67ed23bddbda2fc01523e6ab0b96195d</v>
      </c>
      <c r="K30" s="5" t="s">
        <v>124</v>
      </c>
      <c r="L30" s="5" t="s">
        <v>125</v>
      </c>
      <c r="M30" s="5" t="str" cm="1">
        <f t="array" ref="M30">INDEX('Data Points padrão'!$D:$D,MATCH(D30&amp;F30&amp;H30,'Data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1" spans="1:14" x14ac:dyDescent="0.3">
      <c r="A31" s="5">
        <v>3</v>
      </c>
      <c r="B31" s="7" t="s">
        <v>126</v>
      </c>
      <c r="D31" s="5" t="s">
        <v>15</v>
      </c>
      <c r="E31" s="5" t="str" cm="1">
        <f t="array" ref="E31">INDEX('Codigos Categorias'!$C:$C,MATCH(D$1&amp;D31,'Codigos Categorias'!$A:$A&amp;'Codigos Categorias'!$B:$B,0))</f>
        <v>%93f2c6640f26210058d8ded0f1050e12</v>
      </c>
      <c r="F31" s="5" t="s">
        <v>16</v>
      </c>
      <c r="G31" s="5" t="str" cm="1">
        <f t="array" ref="G31">INDEX('Codigos Categorias'!$C:$C,MATCH(F$1&amp;F31,'Codigos Categorias'!$A:$A&amp;'Codigos Categorias'!$B:$B,0))</f>
        <v>%a3f2c6640f26210058d8ded0f1050e1b</v>
      </c>
      <c r="H31" s="5" t="s">
        <v>102</v>
      </c>
      <c r="I31" s="5" t="str" cm="1">
        <f t="array" ref="I31">INDEX('Codigos Categorias'!$C:$C,MATCH(H$1&amp;H31,'Codigos Categorias'!$A:$A&amp;'Codigos Categorias'!$B:$B,0))</f>
        <v>%111e9a3c0f9e82006bdcb47ce1050e03</v>
      </c>
      <c r="K31" s="5" t="s">
        <v>127</v>
      </c>
      <c r="L31" s="5" t="s">
        <v>128</v>
      </c>
      <c r="M31" s="5" t="str" cm="1">
        <f t="array" ref="M31">INDEX('Data Points padrão'!$D:$D,MATCH(D31&amp;F31&amp;H31,'Data Points padrão'!$A:$A&amp;'Data Points padrão'!$B:$B&amp;'Data Points padrão'!$C:$C,0))</f>
        <v>Affected Software: mentioned above</v>
      </c>
    </row>
    <row r="32" spans="1:14" x14ac:dyDescent="0.3">
      <c r="A32" s="5">
        <v>4</v>
      </c>
      <c r="B32" s="5" t="s">
        <v>129</v>
      </c>
      <c r="D32" s="5" t="s">
        <v>23</v>
      </c>
      <c r="E32" s="5" t="str" cm="1">
        <f t="array" ref="E32">INDEX('Codigos Categorias'!$C:$C,MATCH(D$1&amp;D32,'Codigos Categorias'!$A:$A&amp;'Codigos Categorias'!$B:$B,0))</f>
        <v>%aff2c6640f26210058d8ded0f1050e18</v>
      </c>
      <c r="F32" s="5" t="s">
        <v>24</v>
      </c>
      <c r="G32" s="5" t="str" cm="1">
        <f t="array" ref="G32">INDEX('Codigos Categorias'!$C:$C,MATCH(F$1&amp;F32,'Codigos Categorias'!$A:$A&amp;'Codigos Categorias'!$B:$B,0))</f>
        <v>%b1e171520ff1b204fc37ded0f1050eae</v>
      </c>
      <c r="H32" s="5" t="s">
        <v>87</v>
      </c>
      <c r="I32" s="5" t="str" cm="1">
        <f t="array" ref="I32">INDEX('Codigos Categorias'!$C:$C,MATCH(H$1&amp;H32,'Codigos Categorias'!$A:$A&amp;'Codigos Categorias'!$B:$B,0))</f>
        <v>%67ed23bddbda2fc01523e6ab0b96195d</v>
      </c>
      <c r="K32" s="5" t="s">
        <v>129</v>
      </c>
      <c r="L32" s="5" t="s">
        <v>130</v>
      </c>
      <c r="M32" s="5" t="str" cm="1">
        <f t="array" ref="M32">INDEX('Data Points padrão'!$D:$D,MATCH(D32&amp;F32&amp;H32,'Data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3" spans="1:14" x14ac:dyDescent="0.3">
      <c r="A33" s="5">
        <v>2</v>
      </c>
      <c r="B33" s="5" t="s">
        <v>131</v>
      </c>
      <c r="D33" s="5" t="s">
        <v>110</v>
      </c>
      <c r="E33" s="5" t="str" cm="1">
        <f t="array" ref="E33">INDEX('Codigos Categorias'!$C:$C,MATCH(D$1&amp;D33,'Codigos Categorias'!$A:$A&amp;'Codigos Categorias'!$B:$B,0))</f>
        <v>%97f2c6640f26210058d8ded0f1050e15</v>
      </c>
      <c r="F33" s="5" t="s">
        <v>111</v>
      </c>
      <c r="G33" s="5" t="str" cm="1">
        <f t="array" ref="G33">INDEX('Codigos Categorias'!$C:$C,MATCH(F$1&amp;F33,'Codigos Categorias'!$A:$A&amp;'Codigos Categorias'!$B:$B,0))</f>
        <v>%e9942fe30f793100bad9ded0f1050e3a</v>
      </c>
      <c r="H33" s="5" t="s">
        <v>112</v>
      </c>
      <c r="I33" s="5" t="str" cm="1">
        <f t="array" ref="I33">INDEX('Codigos Categorias'!$C:$C,MATCH(H$1&amp;H33,'Codigos Categorias'!$A:$A&amp;'Codigos Categorias'!$B:$B,0))</f>
        <v>%250d26ecdb6e08140b68772b68961965</v>
      </c>
      <c r="K33" s="5" t="s">
        <v>132</v>
      </c>
      <c r="L33" s="5" t="s">
        <v>133</v>
      </c>
      <c r="M33" s="5" t="str" cm="1">
        <f t="array" ref="M33">INDEX('Data Points padrão'!$D:$D,MATCH(D33&amp;F33&amp;H33,'Data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row>
    <row r="34" spans="1:14" x14ac:dyDescent="0.3">
      <c r="A34" s="5">
        <v>4</v>
      </c>
      <c r="B34" s="5" t="s">
        <v>928</v>
      </c>
      <c r="D34" s="5" t="s">
        <v>15</v>
      </c>
      <c r="E34" s="5" t="str" cm="1">
        <f t="array" ref="E34">INDEX('Codigos Categorias'!$C:$C,MATCH(D$1&amp;D34,'Codigos Categorias'!$A:$A&amp;'Codigos Categorias'!$B:$B,0))</f>
        <v>%93f2c6640f26210058d8ded0f1050e12</v>
      </c>
      <c r="F34" s="5" t="s">
        <v>16</v>
      </c>
      <c r="G34" s="5" t="str" cm="1">
        <f t="array" ref="G34">INDEX('Codigos Categorias'!$C:$C,MATCH(F$1&amp;F34,'Codigos Categorias'!$A:$A&amp;'Codigos Categorias'!$B:$B,0))</f>
        <v>%a3f2c6640f26210058d8ded0f1050e1b</v>
      </c>
      <c r="H34" s="5" t="s">
        <v>102</v>
      </c>
      <c r="I34" s="5" t="str" cm="1">
        <f t="array" ref="I34">INDEX('Codigos Categorias'!$C:$C,MATCH(H$1&amp;H34,'Codigos Categorias'!$A:$A&amp;'Codigos Categorias'!$B:$B,0))</f>
        <v>%111e9a3c0f9e82006bdcb47ce1050e03</v>
      </c>
      <c r="K34" s="5" t="s">
        <v>930</v>
      </c>
      <c r="L34" s="5" t="s">
        <v>929</v>
      </c>
      <c r="M34" s="5" t="str" cm="1">
        <f t="array" ref="M34">INDEX('Data Points padrão'!$D:$D,MATCH(D34&amp;F34&amp;H34,'Data Points padrão'!$A:$A&amp;'Data Points padrão'!$B:$B&amp;'Data Points padrão'!$C:$C,0))</f>
        <v>Affected Software: mentioned above</v>
      </c>
    </row>
    <row r="35" spans="1:14" x14ac:dyDescent="0.3">
      <c r="A35" s="5">
        <v>7</v>
      </c>
      <c r="B35" s="5" t="s">
        <v>134</v>
      </c>
      <c r="D35" s="5" t="s">
        <v>23</v>
      </c>
      <c r="E35" s="5" t="str" cm="1">
        <f t="array" ref="E35">INDEX('Codigos Categorias'!$C:$C,MATCH(D$1&amp;D35,'Codigos Categorias'!$A:$A&amp;'Codigos Categorias'!$B:$B,0))</f>
        <v>%aff2c6640f26210058d8ded0f1050e18</v>
      </c>
      <c r="F35" s="5" t="s">
        <v>24</v>
      </c>
      <c r="G35" s="5" t="str" cm="1">
        <f t="array" ref="G35">INDEX('Codigos Categorias'!$C:$C,MATCH(F$1&amp;F35,'Codigos Categorias'!$A:$A&amp;'Codigos Categorias'!$B:$B,0))</f>
        <v>%b1e171520ff1b204fc37ded0f1050eae</v>
      </c>
      <c r="H35" s="5" t="s">
        <v>87</v>
      </c>
      <c r="I35" s="5" t="str" cm="1">
        <f t="array" ref="I35">INDEX('Codigos Categorias'!$C:$C,MATCH(H$1&amp;H35,'Codigos Categorias'!$A:$A&amp;'Codigos Categorias'!$B:$B,0))</f>
        <v>%67ed23bddbda2fc01523e6ab0b96195d</v>
      </c>
      <c r="K35" s="5" t="s">
        <v>134</v>
      </c>
      <c r="L35" s="5" t="s">
        <v>135</v>
      </c>
      <c r="M35" s="5" t="str" cm="1">
        <f t="array" ref="M35">INDEX('Data Points padrão'!$D:$D,MATCH(D35&amp;F35&amp;H35,'Data Points padrão'!$A:$A&amp;'Data Points padrão'!$B:$B&amp;'Data Points padrão'!$C:$C,0))</f>
        <v>IMPORTANT: DO NOT DELETE ANY TEXT BELOW, JUST ADD RELEVANT ANSWERS!!!
Fill in ONLY if Issue is NOT SOLVED &amp; ticket needs to be dispatched (Otherwise skip): 
UCMS logfile attached, see KB0014119? (YES/NO): no</v>
      </c>
      <c r="N35" s="5" t="s">
        <v>49</v>
      </c>
    </row>
    <row r="36" spans="1:14" x14ac:dyDescent="0.3">
      <c r="A36" s="5">
        <v>6</v>
      </c>
      <c r="B36" s="5" t="s">
        <v>136</v>
      </c>
      <c r="C36" s="5" t="s">
        <v>607</v>
      </c>
      <c r="D36" s="5" t="s">
        <v>23</v>
      </c>
      <c r="E36" s="5" t="str" cm="1">
        <f t="array" ref="E36">INDEX('Codigos Categorias'!$C:$C,MATCH(D$1&amp;D36,'Codigos Categorias'!$A:$A&amp;'Codigos Categorias'!$B:$B,0))</f>
        <v>%aff2c6640f26210058d8ded0f1050e18</v>
      </c>
      <c r="F36" s="5" t="s">
        <v>24</v>
      </c>
      <c r="G36" s="5" t="str" cm="1">
        <f t="array" ref="G36">INDEX('Codigos Categorias'!$C:$C,MATCH(F$1&amp;F36,'Codigos Categorias'!$A:$A&amp;'Codigos Categorias'!$B:$B,0))</f>
        <v>%b1e171520ff1b204fc37ded0f1050eae</v>
      </c>
      <c r="H36" s="5" t="s">
        <v>87</v>
      </c>
      <c r="I36" s="5" t="str" cm="1">
        <f t="array" ref="I36">INDEX('Codigos Categorias'!$C:$C,MATCH(H$1&amp;H36,'Codigos Categorias'!$A:$A&amp;'Codigos Categorias'!$B:$B,0))</f>
        <v>%67ed23bddbda2fc01523e6ab0b96195d</v>
      </c>
      <c r="K36" s="5" t="s">
        <v>137</v>
      </c>
      <c r="L36" s="5" t="s">
        <v>824</v>
      </c>
      <c r="M36" s="5" t="str" cm="1">
        <f t="array" ref="M36">INDEX('Data Points padrão'!$D:$D,MATCH(D36&amp;F36&amp;H36,'Data Points padrão'!$A:$A&amp;'Data Points padrão'!$B:$B&amp;'Data Points padrão'!$C:$C,0))</f>
        <v>IMPORTANT: DO NOT DELETE ANY TEXT BELOW, JUST ADD RELEVANT ANSWERS!!!
Fill in ONLY if Issue is NOT SOLVED &amp; ticket needs to be dispatched (Otherwise skip): 
UCMS logfile attached, see KB0014119? (YES/NO): no</v>
      </c>
      <c r="N36" s="5" t="s">
        <v>49</v>
      </c>
    </row>
    <row r="37" spans="1:14" x14ac:dyDescent="0.3">
      <c r="A37" s="5">
        <v>4</v>
      </c>
      <c r="B37" s="5" t="s">
        <v>138</v>
      </c>
      <c r="D37" s="5" t="s">
        <v>23</v>
      </c>
      <c r="E37" s="5" t="str" cm="1">
        <f t="array" ref="E37">INDEX('Codigos Categorias'!$C:$C,MATCH(D$1&amp;D37,'Codigos Categorias'!$A:$A&amp;'Codigos Categorias'!$B:$B,0))</f>
        <v>%aff2c6640f26210058d8ded0f1050e18</v>
      </c>
      <c r="F37" s="5" t="s">
        <v>24</v>
      </c>
      <c r="G37" s="5" t="str" cm="1">
        <f t="array" ref="G37">INDEX('Codigos Categorias'!$C:$C,MATCH(F$1&amp;F37,'Codigos Categorias'!$A:$A&amp;'Codigos Categorias'!$B:$B,0))</f>
        <v>%b1e171520ff1b204fc37ded0f1050eae</v>
      </c>
      <c r="H37" s="5" t="s">
        <v>87</v>
      </c>
      <c r="I37" s="5" t="str" cm="1">
        <f t="array" ref="I37">INDEX('Codigos Categorias'!$C:$C,MATCH(H$1&amp;H37,'Codigos Categorias'!$A:$A&amp;'Codigos Categorias'!$B:$B,0))</f>
        <v>%67ed23bddbda2fc01523e6ab0b96195d</v>
      </c>
      <c r="K37" s="5" t="s">
        <v>139</v>
      </c>
      <c r="L37" s="5" t="s">
        <v>140</v>
      </c>
      <c r="M37" s="5" t="str" cm="1">
        <f t="array" ref="M37">INDEX('Data Points padrão'!$D:$D,MATCH(D37&amp;F37&amp;H37,'Data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38" spans="1:14" x14ac:dyDescent="0.3">
      <c r="A38" s="5">
        <v>21</v>
      </c>
      <c r="B38" s="5" t="s">
        <v>141</v>
      </c>
      <c r="D38" s="5" t="s">
        <v>44</v>
      </c>
      <c r="E38" s="5" t="str" cm="1">
        <f t="array" ref="E38">INDEX('Codigos Categorias'!$C:$C,MATCH(D$1&amp;D38,'Codigos Categorias'!$A:$A&amp;'Codigos Categorias'!$B:$B,0))</f>
        <v>%e7f2c6640f26210058d8ded0f1050e18</v>
      </c>
      <c r="F38" s="5" t="s">
        <v>142</v>
      </c>
      <c r="G38" s="5" t="str" cm="1">
        <f t="array" ref="G38">INDEX('Codigos Categorias'!$C:$C,MATCH(F$1&amp;F38,'Codigos Categorias'!$A:$A&amp;'Codigos Categorias'!$B:$B,0))</f>
        <v>%559fb0dc0f927500bad9ded0f1050e9f</v>
      </c>
      <c r="H38" s="5" t="s">
        <v>624</v>
      </c>
      <c r="I38" s="5" t="str" cm="1">
        <f t="array" ref="I38">INDEX('Codigos Categorias'!$C:$C,MATCH(H$1&amp;H38,'Codigos Categorias'!$A:$A&amp;'Codigos Categorias'!$B:$B,0))</f>
        <v>%ebf2c6640f26210058d8ded0f1050e18</v>
      </c>
      <c r="K38" s="5" t="s">
        <v>141</v>
      </c>
      <c r="L38" s="5" t="s">
        <v>143</v>
      </c>
      <c r="M38" s="5" t="str" cm="1">
        <f t="array" ref="M38">INDEX('Data Points padrão'!$D:$D,MATCH(D38&amp;F38&amp;H38,'Data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38" s="5" t="s">
        <v>49</v>
      </c>
    </row>
    <row r="39" spans="1:14" x14ac:dyDescent="0.3">
      <c r="A39" s="5">
        <v>10</v>
      </c>
      <c r="B39" s="5" t="s">
        <v>803</v>
      </c>
      <c r="D39" s="5" t="s">
        <v>59</v>
      </c>
      <c r="E39" s="5" t="str" cm="1">
        <f t="array" ref="E39">INDEX('Codigos Categorias'!$C:$C,MATCH(D$1&amp;D39,'Codigos Categorias'!$A:$A&amp;'Codigos Categorias'!$B:$B,0))</f>
        <v>%dff2c6640f26210058d8ded0f1050e12</v>
      </c>
      <c r="F39" s="5" t="s">
        <v>144</v>
      </c>
      <c r="G39" s="5" t="str" cm="1">
        <f t="array" ref="G39">INDEX('Codigos Categorias'!$C:$C,MATCH(F$1&amp;F39,'Codigos Categorias'!$A:$A&amp;'Codigos Categorias'!$B:$B,0))</f>
        <v>%ea30dfeddbf2801c22b9e7ba489619a2</v>
      </c>
      <c r="H39" s="5" t="s">
        <v>145</v>
      </c>
      <c r="I39" s="5" t="str" cm="1">
        <f t="array" ref="I39">INDEX('Codigos Categorias'!$C:$C,MATCH(H$1&amp;H39,'Codigos Categorias'!$A:$A&amp;'Codigos Categorias'!$B:$B,0))</f>
        <v>%42409721db36801c22b9e7ba489619b2</v>
      </c>
      <c r="K39" s="5" t="s">
        <v>802</v>
      </c>
      <c r="L39" s="5" t="s">
        <v>804</v>
      </c>
      <c r="M39" s="5" t="str" cm="1">
        <f t="array" ref="M39">INDEX('Data Points padrão'!$D:$D,MATCH(D39&amp;F39&amp;H39,'Data Points padrão'!$A:$A&amp;'Data Points padrão'!$B:$B&amp;'Data Points padrão'!$C:$C,0))</f>
        <v>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v>
      </c>
      <c r="N39" s="5" t="s">
        <v>49</v>
      </c>
    </row>
    <row r="40" spans="1:14" x14ac:dyDescent="0.3">
      <c r="A40" s="5">
        <v>2</v>
      </c>
      <c r="B40" s="5" t="s">
        <v>146</v>
      </c>
      <c r="D40" s="5" t="s">
        <v>147</v>
      </c>
      <c r="E40" s="5" t="str" cm="1">
        <f t="array" ref="E40">INDEX('Codigos Categorias'!$C:$C,MATCH(D$1&amp;D40,'Codigos Categorias'!$A:$A&amp;'Codigos Categorias'!$B:$B,0))</f>
        <v>%118181180f1871006bdcb47ce1050e07</v>
      </c>
      <c r="F40" s="5" t="s">
        <v>148</v>
      </c>
      <c r="G40" s="5" t="str" cm="1">
        <f t="array" ref="G40">INDEX('Codigos Categorias'!$C:$C,MATCH(F$1&amp;F40,'Codigos Categorias'!$A:$A&amp;'Codigos Categorias'!$B:$B,0))</f>
        <v>%28e105180f1871006bdcb47ce1050ea0</v>
      </c>
      <c r="H40" s="5" t="s">
        <v>149</v>
      </c>
      <c r="I40" s="5" t="str" cm="1">
        <f t="array" ref="I40">INDEX('Codigos Categorias'!$C:$C,MATCH(H$1&amp;H40,'Codigos Categorias'!$A:$A&amp;'Codigos Categorias'!$B:$B,0))</f>
        <v>%4992c5180f1871006bdcb47ce1050e90</v>
      </c>
      <c r="K40" s="5" t="s">
        <v>146</v>
      </c>
      <c r="L40" s="5" t="s">
        <v>150</v>
      </c>
      <c r="M40" s="5" t="e" cm="1">
        <f t="array" ref="M40">INDEX('Data Points padrão'!$D:$D,MATCH(D40&amp;F40&amp;H40,'Data Points padrão'!$A:$A&amp;'Data Points padrão'!$B:$B&amp;'Data Points padrão'!$C:$C,0))</f>
        <v>#N/A</v>
      </c>
    </row>
    <row r="41" spans="1:14" x14ac:dyDescent="0.3">
      <c r="A41" s="5">
        <v>17</v>
      </c>
      <c r="B41" s="5" t="s">
        <v>151</v>
      </c>
      <c r="D41" s="5" t="s">
        <v>44</v>
      </c>
      <c r="E41" s="5" t="str" cm="1">
        <f t="array" ref="E41">INDEX('Codigos Categorias'!$C:$C,MATCH(D$1&amp;D41,'Codigos Categorias'!$A:$A&amp;'Codigos Categorias'!$B:$B,0))</f>
        <v>%e7f2c6640f26210058d8ded0f1050e18</v>
      </c>
      <c r="F41" s="5" t="s">
        <v>142</v>
      </c>
      <c r="G41" s="5" t="str" cm="1">
        <f t="array" ref="G41">INDEX('Codigos Categorias'!$C:$C,MATCH(F$1&amp;F41,'Codigos Categorias'!$A:$A&amp;'Codigos Categorias'!$B:$B,0))</f>
        <v>%559fb0dc0f927500bad9ded0f1050e9f</v>
      </c>
      <c r="H41" s="5" t="s">
        <v>624</v>
      </c>
      <c r="I41" s="5" t="str" cm="1">
        <f t="array" ref="I41">INDEX('Codigos Categorias'!$C:$C,MATCH(H$1&amp;H41,'Codigos Categorias'!$A:$A&amp;'Codigos Categorias'!$B:$B,0))</f>
        <v>%ebf2c6640f26210058d8ded0f1050e18</v>
      </c>
      <c r="K41" s="5" t="s">
        <v>152</v>
      </c>
      <c r="L41" s="5" t="s">
        <v>583</v>
      </c>
      <c r="M41" s="5" t="str" cm="1">
        <f t="array" ref="M41">INDEX('Data Points padrão'!$D:$D,MATCH(D41&amp;F41&amp;H41,'Data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row>
    <row r="42" spans="1:14" x14ac:dyDescent="0.3">
      <c r="A42" s="5">
        <v>5</v>
      </c>
      <c r="B42" s="5" t="s">
        <v>153</v>
      </c>
      <c r="D42" s="5" t="s">
        <v>15</v>
      </c>
      <c r="E42" s="5" t="str" cm="1">
        <f t="array" ref="E42">INDEX('Codigos Categorias'!$C:$C,MATCH(D$1&amp;D42,'Codigos Categorias'!$A:$A&amp;'Codigos Categorias'!$B:$B,0))</f>
        <v>%93f2c6640f26210058d8ded0f1050e12</v>
      </c>
      <c r="F42" s="5" t="s">
        <v>16</v>
      </c>
      <c r="G42" s="5" t="str" cm="1">
        <f t="array" ref="G42">INDEX('Codigos Categorias'!$C:$C,MATCH(F$1&amp;F42,'Codigos Categorias'!$A:$A&amp;'Codigos Categorias'!$B:$B,0))</f>
        <v>%a3f2c6640f26210058d8ded0f1050e1b</v>
      </c>
      <c r="H42" s="5" t="s">
        <v>102</v>
      </c>
      <c r="I42" s="5" t="str" cm="1">
        <f t="array" ref="I42">INDEX('Codigos Categorias'!$C:$C,MATCH(H$1&amp;H42,'Codigos Categorias'!$A:$A&amp;'Codigos Categorias'!$B:$B,0))</f>
        <v>%111e9a3c0f9e82006bdcb47ce1050e03</v>
      </c>
      <c r="K42" s="5" t="s">
        <v>154</v>
      </c>
      <c r="L42" s="5" t="s">
        <v>155</v>
      </c>
      <c r="M42" s="5" t="str" cm="1">
        <f t="array" ref="M42">INDEX('Data Points padrão'!$D:$D,MATCH(D42&amp;F42&amp;H42,'Data Points padrão'!$A:$A&amp;'Data Points padrão'!$B:$B&amp;'Data Points padrão'!$C:$C,0))</f>
        <v>Affected Software: mentioned above</v>
      </c>
      <c r="N42" s="5" t="s">
        <v>85</v>
      </c>
    </row>
    <row r="43" spans="1:14" x14ac:dyDescent="0.3">
      <c r="A43" s="5">
        <v>32</v>
      </c>
      <c r="B43" s="5" t="s">
        <v>156</v>
      </c>
      <c r="D43" s="5" t="s">
        <v>23</v>
      </c>
      <c r="E43" s="5" t="str" cm="1">
        <f t="array" ref="E43">INDEX('Codigos Categorias'!$C:$C,MATCH(D$1&amp;D43,'Codigos Categorias'!$A:$A&amp;'Codigos Categorias'!$B:$B,0))</f>
        <v>%aff2c6640f26210058d8ded0f1050e18</v>
      </c>
      <c r="F43" s="5" t="s">
        <v>24</v>
      </c>
      <c r="G43" s="5" t="str" cm="1">
        <f t="array" ref="G43">INDEX('Codigos Categorias'!$C:$C,MATCH(F$1&amp;F43,'Codigos Categorias'!$A:$A&amp;'Codigos Categorias'!$B:$B,0))</f>
        <v>%b1e171520ff1b204fc37ded0f1050eae</v>
      </c>
      <c r="H43" s="5" t="s">
        <v>67</v>
      </c>
      <c r="I43" s="5" t="str" cm="1">
        <f t="array" ref="I43">INDEX('Codigos Categorias'!$C:$C,MATCH(H$1&amp;H43,'Codigos Categorias'!$A:$A&amp;'Codigos Categorias'!$B:$B,0))</f>
        <v>%416ac46fdb032fcc1523e6ab0b9619f2</v>
      </c>
      <c r="K43" s="5" t="s">
        <v>156</v>
      </c>
      <c r="L43" s="5" t="s">
        <v>157</v>
      </c>
      <c r="M43" s="5" t="str" cm="1">
        <f t="array" ref="M43">INDEX('Data Points padrão'!$D:$D,MATCH(D43&amp;F43&amp;H43,'Data Points padrão'!$A:$A&amp;'Data Points padrão'!$B:$B&amp;'Data Points padrão'!$C:$C,0))</f>
        <v>IMPORTANT: DO NOT DELETE ANY TEXT BELOW, JUST ADD RELEVANT ANSWERS!!!
Fill in ONLY if Issue is NOT SOLVED &amp; ticket needs to be dispatched (Otherwise skip): 
UCMS logfile attached, see KB0014119 (YES/NO): no</v>
      </c>
    </row>
    <row r="44" spans="1:14" x14ac:dyDescent="0.3">
      <c r="A44" s="5">
        <v>7</v>
      </c>
      <c r="B44" s="5" t="s">
        <v>776</v>
      </c>
      <c r="D44" s="5" t="s">
        <v>37</v>
      </c>
      <c r="E44" s="5" t="str" cm="1">
        <f t="array" ref="E44">INDEX('Codigos Categorias'!$C:$C,MATCH(D$1&amp;D44,'Codigos Categorias'!$A:$A&amp;'Codigos Categorias'!$B:$B,0))</f>
        <v>%6bf2c6640f26210058d8ded0f1050e17</v>
      </c>
      <c r="F44" s="5" t="s">
        <v>38</v>
      </c>
      <c r="G44" s="5" t="str" cm="1">
        <f t="array" ref="G44">INDEX('Codigos Categorias'!$C:$C,MATCH(F$1&amp;F44,'Codigos Categorias'!$A:$A&amp;'Codigos Categorias'!$B:$B,0))</f>
        <v>%af6148670fb42e440010c1cce1050ed0</v>
      </c>
      <c r="H44" s="5" t="s">
        <v>158</v>
      </c>
      <c r="I44" s="5" t="str" cm="1">
        <f t="array" ref="I44">INDEX('Codigos Categorias'!$C:$C,MATCH(H$1&amp;H44,'Codigos Categorias'!$A:$A&amp;'Codigos Categorias'!$B:$B,0))</f>
        <v>%02f280eb0fb42e440010c1cce1050e58</v>
      </c>
      <c r="J44" s="5" t="s">
        <v>40</v>
      </c>
      <c r="K44" s="5" t="s">
        <v>159</v>
      </c>
      <c r="L44" s="5" t="s">
        <v>160</v>
      </c>
      <c r="M44" s="5" t="e" cm="1">
        <f t="array" ref="M44">INDEX('Data Points padrão'!$D:$D,MATCH(D44&amp;F44&amp;H44,'Data Points padrão'!$A:$A&amp;'Data Points padrão'!$B:$B&amp;'Data Points padrão'!$C:$C,0))</f>
        <v>#N/A</v>
      </c>
    </row>
    <row r="45" spans="1:14" x14ac:dyDescent="0.3">
      <c r="A45" s="5">
        <v>11</v>
      </c>
      <c r="B45" s="5" t="s">
        <v>161</v>
      </c>
      <c r="D45" s="5" t="s">
        <v>23</v>
      </c>
      <c r="E45" s="5" t="str" cm="1">
        <f t="array" ref="E45">INDEX('Codigos Categorias'!$C:$C,MATCH(D$1&amp;D45,'Codigos Categorias'!$A:$A&amp;'Codigos Categorias'!$B:$B,0))</f>
        <v>%aff2c6640f26210058d8ded0f1050e18</v>
      </c>
      <c r="F45" s="5" t="s">
        <v>24</v>
      </c>
      <c r="G45" s="5" t="str" cm="1">
        <f t="array" ref="G45">INDEX('Codigos Categorias'!$C:$C,MATCH(F$1&amp;F45,'Codigos Categorias'!$A:$A&amp;'Codigos Categorias'!$B:$B,0))</f>
        <v>%b1e171520ff1b204fc37ded0f1050eae</v>
      </c>
      <c r="H45" s="5" t="s">
        <v>67</v>
      </c>
      <c r="I45" s="5" t="str" cm="1">
        <f t="array" ref="I45">INDEX('Codigos Categorias'!$C:$C,MATCH(H$1&amp;H45,'Codigos Categorias'!$A:$A&amp;'Codigos Categorias'!$B:$B,0))</f>
        <v>%416ac46fdb032fcc1523e6ab0b9619f2</v>
      </c>
      <c r="K45" s="5" t="s">
        <v>162</v>
      </c>
      <c r="L45" s="5" t="s">
        <v>163</v>
      </c>
      <c r="M45" s="5" t="str" cm="1">
        <f t="array" ref="M45">INDEX('Data Points padrão'!$D:$D,MATCH(D45&amp;F45&amp;H45,'Data Points padrão'!$A:$A&amp;'Data Points padrão'!$B:$B&amp;'Data Points padrão'!$C:$C,0))</f>
        <v>IMPORTANT: DO NOT DELETE ANY TEXT BELOW, JUST ADD RELEVANT ANSWERS!!!
Fill in ONLY if Issue is NOT SOLVED &amp; ticket needs to be dispatched (Otherwise skip): 
UCMS logfile attached, see KB0014119 (YES/NO): no</v>
      </c>
      <c r="N45" s="5" t="s">
        <v>49</v>
      </c>
    </row>
    <row r="46" spans="1:14" x14ac:dyDescent="0.3">
      <c r="A46" s="5">
        <v>3</v>
      </c>
      <c r="B46" s="5" t="s">
        <v>164</v>
      </c>
      <c r="D46" s="5" t="s">
        <v>15</v>
      </c>
      <c r="E46" s="5" t="str" cm="1">
        <f t="array" ref="E46">INDEX('Codigos Categorias'!$C:$C,MATCH(D$1&amp;D46,'Codigos Categorias'!$A:$A&amp;'Codigos Categorias'!$B:$B,0))</f>
        <v>%93f2c6640f26210058d8ded0f1050e12</v>
      </c>
      <c r="F46" s="5" t="s">
        <v>16</v>
      </c>
      <c r="G46" s="5" t="str" cm="1">
        <f t="array" ref="G46">INDEX('Codigos Categorias'!$C:$C,MATCH(F$1&amp;F46,'Codigos Categorias'!$A:$A&amp;'Codigos Categorias'!$B:$B,0))</f>
        <v>%a3f2c6640f26210058d8ded0f1050e1b</v>
      </c>
      <c r="H46" s="5" t="s">
        <v>102</v>
      </c>
      <c r="I46" s="5" t="str" cm="1">
        <f t="array" ref="I46">INDEX('Codigos Categorias'!$C:$C,MATCH(H$1&amp;H46,'Codigos Categorias'!$A:$A&amp;'Codigos Categorias'!$B:$B,0))</f>
        <v>%111e9a3c0f9e82006bdcb47ce1050e03</v>
      </c>
      <c r="K46" s="5" t="s">
        <v>165</v>
      </c>
      <c r="L46" s="5" t="s">
        <v>166</v>
      </c>
      <c r="M46" s="5" t="str" cm="1">
        <f t="array" ref="M46">INDEX('Data Points padrão'!$D:$D,MATCH(D46&amp;F46&amp;H46,'Data Points padrão'!$A:$A&amp;'Data Points padrão'!$B:$B&amp;'Data Points padrão'!$C:$C,0))</f>
        <v>Affected Software: mentioned above</v>
      </c>
      <c r="N46" s="5" t="s">
        <v>49</v>
      </c>
    </row>
    <row r="47" spans="1:14" x14ac:dyDescent="0.3">
      <c r="A47" s="5">
        <v>2</v>
      </c>
      <c r="B47" s="5" t="s">
        <v>167</v>
      </c>
      <c r="D47" s="5" t="s">
        <v>15</v>
      </c>
      <c r="E47" s="5" t="str" cm="1">
        <f t="array" ref="E47">INDEX('Codigos Categorias'!$C:$C,MATCH(D$1&amp;D47,'Codigos Categorias'!$A:$A&amp;'Codigos Categorias'!$B:$B,0))</f>
        <v>%93f2c6640f26210058d8ded0f1050e12</v>
      </c>
      <c r="F47" s="5" t="s">
        <v>16</v>
      </c>
      <c r="G47" s="5" t="str" cm="1">
        <f t="array" ref="G47">INDEX('Codigos Categorias'!$C:$C,MATCH(F$1&amp;F47,'Codigos Categorias'!$A:$A&amp;'Codigos Categorias'!$B:$B,0))</f>
        <v>%a3f2c6640f26210058d8ded0f1050e1b</v>
      </c>
      <c r="H47" s="5" t="s">
        <v>102</v>
      </c>
      <c r="I47" s="5" t="str" cm="1">
        <f t="array" ref="I47">INDEX('Codigos Categorias'!$C:$C,MATCH(H$1&amp;H47,'Codigos Categorias'!$A:$A&amp;'Codigos Categorias'!$B:$B,0))</f>
        <v>%111e9a3c0f9e82006bdcb47ce1050e03</v>
      </c>
      <c r="K47" s="5" t="s">
        <v>167</v>
      </c>
      <c r="L47" s="5" t="s">
        <v>168</v>
      </c>
      <c r="M47" s="5" t="str" cm="1">
        <f t="array" ref="M47">INDEX('Data Points padrão'!$D:$D,MATCH(D47&amp;F47&amp;H47,'Data Points padrão'!$A:$A&amp;'Data Points padrão'!$B:$B&amp;'Data Points padrão'!$C:$C,0))</f>
        <v>Affected Software: mentioned above</v>
      </c>
      <c r="N47" s="5" t="s">
        <v>49</v>
      </c>
    </row>
    <row r="48" spans="1:14" x14ac:dyDescent="0.3">
      <c r="A48" s="5">
        <v>1</v>
      </c>
      <c r="B48" s="5" t="s">
        <v>169</v>
      </c>
      <c r="D48" s="5" t="s">
        <v>59</v>
      </c>
      <c r="E48" s="5" t="str" cm="1">
        <f t="array" ref="E48">INDEX('Codigos Categorias'!$C:$C,MATCH(D$1&amp;D48,'Codigos Categorias'!$A:$A&amp;'Codigos Categorias'!$B:$B,0))</f>
        <v>%dff2c6640f26210058d8ded0f1050e12</v>
      </c>
      <c r="F48" s="5" t="s">
        <v>144</v>
      </c>
      <c r="G48" s="5" t="str" cm="1">
        <f t="array" ref="G48">INDEX('Codigos Categorias'!$C:$C,MATCH(F$1&amp;F48,'Codigos Categorias'!$A:$A&amp;'Codigos Categorias'!$B:$B,0))</f>
        <v>%ea30dfeddbf2801c22b9e7ba489619a2</v>
      </c>
      <c r="H48" s="5" t="s">
        <v>170</v>
      </c>
      <c r="I48" s="5" t="str" cm="1">
        <f t="array" ref="I48">INDEX('Codigos Categorias'!$C:$C,MATCH(H$1&amp;H48,'Codigos Categorias'!$A:$A&amp;'Codigos Categorias'!$B:$B,0))</f>
        <v>%8f305321db36801c22b9e7ba48961993</v>
      </c>
      <c r="K48" s="5" t="s">
        <v>169</v>
      </c>
      <c r="L48" s="5" t="s">
        <v>171</v>
      </c>
      <c r="M48" s="5" t="str" cm="1">
        <f t="array" ref="M48">INDEX('Data Points padrão'!$D:$D,MATCH(D48&amp;F48&amp;H48,'Data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48" s="5" t="s">
        <v>85</v>
      </c>
    </row>
    <row r="49" spans="1:14" x14ac:dyDescent="0.3">
      <c r="A49" s="5">
        <v>6</v>
      </c>
      <c r="B49" s="5" t="s">
        <v>172</v>
      </c>
      <c r="D49" s="5" t="s">
        <v>15</v>
      </c>
      <c r="E49" s="5" t="str" cm="1">
        <f t="array" ref="E49">INDEX('Codigos Categorias'!$C:$C,MATCH(D$1&amp;D49,'Codigos Categorias'!$A:$A&amp;'Codigos Categorias'!$B:$B,0))</f>
        <v>%93f2c6640f26210058d8ded0f1050e12</v>
      </c>
      <c r="F49" s="5" t="s">
        <v>16</v>
      </c>
      <c r="G49" s="5" t="str" cm="1">
        <f t="array" ref="G49">INDEX('Codigos Categorias'!$C:$C,MATCH(F$1&amp;F49,'Codigos Categorias'!$A:$A&amp;'Codigos Categorias'!$B:$B,0))</f>
        <v>%a3f2c6640f26210058d8ded0f1050e1b</v>
      </c>
      <c r="H49" s="5" t="s">
        <v>102</v>
      </c>
      <c r="I49" s="5" t="str" cm="1">
        <f t="array" ref="I49">INDEX('Codigos Categorias'!$C:$C,MATCH(H$1&amp;H49,'Codigos Categorias'!$A:$A&amp;'Codigos Categorias'!$B:$B,0))</f>
        <v>%111e9a3c0f9e82006bdcb47ce1050e03</v>
      </c>
      <c r="K49" s="5" t="s">
        <v>172</v>
      </c>
      <c r="L49" s="5" t="s">
        <v>173</v>
      </c>
      <c r="M49" s="5" t="str" cm="1">
        <f t="array" ref="M49">INDEX('Data Points padrão'!$D:$D,MATCH(D49&amp;F49&amp;H49,'Data Points padrão'!$A:$A&amp;'Data Points padrão'!$B:$B&amp;'Data Points padrão'!$C:$C,0))</f>
        <v>Affected Software: mentioned above</v>
      </c>
    </row>
    <row r="50" spans="1:14" x14ac:dyDescent="0.3">
      <c r="A50" s="5">
        <v>5</v>
      </c>
      <c r="B50" s="5" t="s">
        <v>174</v>
      </c>
      <c r="D50" s="5" t="s">
        <v>23</v>
      </c>
      <c r="E50" s="5" t="str" cm="1">
        <f t="array" ref="E50">INDEX('Codigos Categorias'!$C:$C,MATCH(D$1&amp;D50,'Codigos Categorias'!$A:$A&amp;'Codigos Categorias'!$B:$B,0))</f>
        <v>%aff2c6640f26210058d8ded0f1050e18</v>
      </c>
      <c r="F50" s="5" t="s">
        <v>24</v>
      </c>
      <c r="G50" s="5" t="str" cm="1">
        <f t="array" ref="G50">INDEX('Codigos Categorias'!$C:$C,MATCH(F$1&amp;F50,'Codigos Categorias'!$A:$A&amp;'Codigos Categorias'!$B:$B,0))</f>
        <v>%b1e171520ff1b204fc37ded0f1050eae</v>
      </c>
      <c r="H50" s="5" t="s">
        <v>175</v>
      </c>
      <c r="I50" s="5" t="str" cm="1">
        <f t="array" ref="I50">INDEX('Codigos Categorias'!$C:$C,MATCH(H$1&amp;H50,'Codigos Categorias'!$A:$A&amp;'Codigos Categorias'!$B:$B,0))</f>
        <v>%0cf2f8111beae81471ed620ee54bcb16</v>
      </c>
      <c r="K50" s="5" t="s">
        <v>176</v>
      </c>
      <c r="L50" s="5" t="s">
        <v>177</v>
      </c>
      <c r="M50" s="5" t="str" cm="1">
        <f t="array" ref="M50">INDEX('Data Points padrão'!$D:$D,MATCH(D50&amp;F50&amp;H50,'Data Points padrão'!$A:$A&amp;'Data Points padrão'!$B:$B&amp;'Data Points padrão'!$C:$C,0))</f>
        <v>IMPORTANT: DO NOT DELETE ANY TEXT BELOW, JUST ADD RELEVANT ANSWERS!!!
ADD "20H2" or "1909" at the beginning of the Short Description!!!
Fill in ONLY if Issue is NOT SOLVED &amp; ticket needs to be dispatched (Otherwise skip):
UCMS logfile attached, see KB0014119 (YES/NO):
Pather logfile attached, see KB0138165 (YES/NO): no</v>
      </c>
    </row>
    <row r="51" spans="1:14" x14ac:dyDescent="0.3">
      <c r="A51" s="5">
        <v>2</v>
      </c>
      <c r="B51" s="5" t="s">
        <v>178</v>
      </c>
      <c r="D51" s="5" t="s">
        <v>179</v>
      </c>
      <c r="E51" s="5" t="str" cm="1">
        <f t="array" ref="E51">INDEX('Codigos Categorias'!$C:$C,MATCH(D$1&amp;D51,'Codigos Categorias'!$A:$A&amp;'Codigos Categorias'!$B:$B,0))</f>
        <v>%417584570f44cb042505b37ce1050e79</v>
      </c>
      <c r="F51" s="5" t="s">
        <v>180</v>
      </c>
      <c r="G51" s="5" t="str" cm="1">
        <f t="array" ref="G51">INDEX('Codigos Categorias'!$C:$C,MATCH(F$1&amp;F51,'Codigos Categorias'!$A:$A&amp;'Codigos Categorias'!$B:$B,0))</f>
        <v>%ef7a4cdb0f44cb042505b37ce1050ebe</v>
      </c>
      <c r="H51" s="5" t="s">
        <v>181</v>
      </c>
      <c r="I51" s="5" t="str" cm="1">
        <f t="array" ref="I51">INDEX('Codigos Categorias'!$C:$C,MATCH(H$1&amp;H51,'Codigos Categorias'!$A:$A&amp;'Codigos Categorias'!$B:$B,0))</f>
        <v>%e75d1371dbf387000bbbe6ab0b961917</v>
      </c>
      <c r="K51" s="5" t="s">
        <v>182</v>
      </c>
      <c r="L51" s="5" t="s">
        <v>183</v>
      </c>
      <c r="M51" s="5" t="str" cm="1">
        <f t="array" ref="M51">INDEX('Data Points padrão'!$D:$D,MATCH(D51&amp;F51&amp;H51,'Data Points padrão'!$A:$A&amp;'Data Points padrão'!$B:$B&amp;'Data Points padrão'!$C:$C,0))</f>
        <v>IMPORTANT: DO NOT DELETE ANY TEXT BELOW, JUST ADD RELEVANT ANSWERS !!!
Affected GID or email:
URL of Application (if applicable): none
For email issues, use category: Collaboration / Mail Exchange Online 0365 / LTE in SCD
For users located on India or China who need to change/update SCD data, use category: Support / Service Request / SCD / GID
For SCD Certificate issues, use category:  Security and Access / PKI Services - Trustcenter / PKI-others</v>
      </c>
    </row>
    <row r="52" spans="1:14" x14ac:dyDescent="0.3">
      <c r="A52" s="5">
        <v>1</v>
      </c>
      <c r="B52" s="5" t="s">
        <v>184</v>
      </c>
      <c r="D52" s="5" t="s">
        <v>15</v>
      </c>
      <c r="E52" s="5" t="str" cm="1">
        <f t="array" ref="E52">INDEX('Codigos Categorias'!$C:$C,MATCH(D$1&amp;D52,'Codigos Categorias'!$A:$A&amp;'Codigos Categorias'!$B:$B,0))</f>
        <v>%93f2c6640f26210058d8ded0f1050e12</v>
      </c>
      <c r="F52" s="5" t="s">
        <v>16</v>
      </c>
      <c r="G52" s="5" t="str" cm="1">
        <f t="array" ref="G52">INDEX('Codigos Categorias'!$C:$C,MATCH(F$1&amp;F52,'Codigos Categorias'!$A:$A&amp;'Codigos Categorias'!$B:$B,0))</f>
        <v>%a3f2c6640f26210058d8ded0f1050e1b</v>
      </c>
      <c r="H52" s="5" t="s">
        <v>55</v>
      </c>
      <c r="I52" s="5" t="str" cm="1">
        <f t="array" ref="I52">INDEX('Codigos Categorias'!$C:$C,MATCH(H$1&amp;H52,'Codigos Categorias'!$A:$A&amp;'Codigos Categorias'!$B:$B,0))</f>
        <v>%1f04636bdbd83b007f4f5b06ca96196a</v>
      </c>
      <c r="K52" s="5" t="s">
        <v>184</v>
      </c>
      <c r="L52" s="5" t="s">
        <v>185</v>
      </c>
      <c r="M52" s="5" t="str" cm="1">
        <f t="array" ref="M52">INDEX('Data Points padrão'!$D:$D,MATCH(D52&amp;F52&amp;H52,'Data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row>
    <row r="53" spans="1:14" x14ac:dyDescent="0.3">
      <c r="A53" s="5">
        <v>11</v>
      </c>
      <c r="B53" s="5" t="s">
        <v>186</v>
      </c>
      <c r="D53" s="5" t="s">
        <v>44</v>
      </c>
      <c r="E53" s="5" t="str" cm="1">
        <f t="array" ref="E53">INDEX('Codigos Categorias'!$C:$C,MATCH(D$1&amp;D53,'Codigos Categorias'!$A:$A&amp;'Codigos Categorias'!$B:$B,0))</f>
        <v>%e7f2c6640f26210058d8ded0f1050e18</v>
      </c>
      <c r="F53" s="5" t="s">
        <v>45</v>
      </c>
      <c r="G53" s="5" t="str" cm="1">
        <f t="array" ref="G53">INDEX('Codigos Categorias'!$C:$C,MATCH(F$1&amp;F53,'Codigos Categorias'!$A:$A&amp;'Codigos Categorias'!$B:$B,0))</f>
        <v>%6ff2c6640f26210058d8ded0f1050e18</v>
      </c>
      <c r="H53" s="5" t="s">
        <v>46</v>
      </c>
      <c r="I53" s="5" t="str" cm="1">
        <f t="array" ref="I53">INDEX('Codigos Categorias'!$C:$C,MATCH(H$1&amp;H53,'Codigos Categorias'!$A:$A&amp;'Codigos Categorias'!$B:$B,0))</f>
        <v>%790cd201dbdf73808f71e6ab0b961996</v>
      </c>
      <c r="K53" s="5" t="s">
        <v>186</v>
      </c>
      <c r="L53" s="5" t="s">
        <v>187</v>
      </c>
      <c r="M53" s="5" t="e" cm="1">
        <f t="array" ref="M53">INDEX('Data Points padrão'!$D:$D,MATCH(D53&amp;F53&amp;H53,'Data Points padrão'!$A:$A&amp;'Data Points padrão'!$B:$B&amp;'Data Points padrão'!$C:$C,0))</f>
        <v>#N/A</v>
      </c>
    </row>
    <row r="54" spans="1:14" x14ac:dyDescent="0.3">
      <c r="A54" s="5">
        <v>9</v>
      </c>
      <c r="B54" s="5" t="s">
        <v>188</v>
      </c>
      <c r="D54" s="5" t="s">
        <v>23</v>
      </c>
      <c r="E54" s="5" t="str" cm="1">
        <f t="array" ref="E54">INDEX('Codigos Categorias'!$C:$C,MATCH(D$1&amp;D54,'Codigos Categorias'!$A:$A&amp;'Codigos Categorias'!$B:$B,0))</f>
        <v>%aff2c6640f26210058d8ded0f1050e18</v>
      </c>
      <c r="F54" s="5" t="s">
        <v>24</v>
      </c>
      <c r="G54" s="5" t="str" cm="1">
        <f t="array" ref="G54">INDEX('Codigos Categorias'!$C:$C,MATCH(F$1&amp;F54,'Codigos Categorias'!$A:$A&amp;'Codigos Categorias'!$B:$B,0))</f>
        <v>%b1e171520ff1b204fc37ded0f1050eae</v>
      </c>
      <c r="H54" s="5" t="s">
        <v>97</v>
      </c>
      <c r="I54" s="5" t="str" cm="1">
        <f t="array" ref="I54">INDEX('Codigos Categorias'!$C:$C,MATCH(H$1&amp;H54,'Codigos Categorias'!$A:$A&amp;'Codigos Categorias'!$B:$B,0))</f>
        <v>%cd5e668b0ffe3a00cd6eded0f1050ed5</v>
      </c>
      <c r="K54" s="5" t="s">
        <v>188</v>
      </c>
      <c r="L54" s="5" t="s">
        <v>189</v>
      </c>
      <c r="M54" s="5" t="str" cm="1">
        <f t="array" ref="M54">INDEX('Data Points padrão'!$D:$D,MATCH(D54&amp;F54&amp;H54,'Data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row>
    <row r="55" spans="1:14" x14ac:dyDescent="0.3">
      <c r="A55" s="5">
        <v>2</v>
      </c>
      <c r="B55" s="5" t="s">
        <v>190</v>
      </c>
      <c r="D55" s="5" t="s">
        <v>23</v>
      </c>
      <c r="E55" s="5" t="str" cm="1">
        <f t="array" ref="E55">INDEX('Codigos Categorias'!$C:$C,MATCH(D$1&amp;D55,'Codigos Categorias'!$A:$A&amp;'Codigos Categorias'!$B:$B,0))</f>
        <v>%aff2c6640f26210058d8ded0f1050e18</v>
      </c>
      <c r="F55" s="5" t="s">
        <v>24</v>
      </c>
      <c r="G55" s="5" t="str" cm="1">
        <f t="array" ref="G55">INDEX('Codigos Categorias'!$C:$C,MATCH(F$1&amp;F55,'Codigos Categorias'!$A:$A&amp;'Codigos Categorias'!$B:$B,0))</f>
        <v>%b1e171520ff1b204fc37ded0f1050eae</v>
      </c>
      <c r="H55" s="5" t="s">
        <v>97</v>
      </c>
      <c r="I55" s="5" t="str" cm="1">
        <f t="array" ref="I55">INDEX('Codigos Categorias'!$C:$C,MATCH(H$1&amp;H55,'Codigos Categorias'!$A:$A&amp;'Codigos Categorias'!$B:$B,0))</f>
        <v>%cd5e668b0ffe3a00cd6eded0f1050ed5</v>
      </c>
      <c r="K55" s="5" t="s">
        <v>191</v>
      </c>
      <c r="L55" s="5" t="s">
        <v>192</v>
      </c>
      <c r="M55" s="5" t="str" cm="1">
        <f t="array" ref="M55">INDEX('Data Points padrão'!$D:$D,MATCH(D55&amp;F55&amp;H55,'Data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55" s="5" t="s">
        <v>49</v>
      </c>
    </row>
    <row r="56" spans="1:14" x14ac:dyDescent="0.3">
      <c r="A56" s="5">
        <v>1</v>
      </c>
      <c r="B56" s="5" t="s">
        <v>193</v>
      </c>
      <c r="D56" s="5" t="s">
        <v>15</v>
      </c>
      <c r="E56" s="5" t="str" cm="1">
        <f t="array" ref="E56">INDEX('Codigos Categorias'!$C:$C,MATCH(D$1&amp;D56,'Codigos Categorias'!$A:$A&amp;'Codigos Categorias'!$B:$B,0))</f>
        <v>%93f2c6640f26210058d8ded0f1050e12</v>
      </c>
      <c r="F56" s="5" t="s">
        <v>16</v>
      </c>
      <c r="G56" s="5" t="str" cm="1">
        <f t="array" ref="G56">INDEX('Codigos Categorias'!$C:$C,MATCH(F$1&amp;F56,'Codigos Categorias'!$A:$A&amp;'Codigos Categorias'!$B:$B,0))</f>
        <v>%a3f2c6640f26210058d8ded0f1050e1b</v>
      </c>
      <c r="H56" s="5" t="s">
        <v>194</v>
      </c>
      <c r="I56" s="5" t="str" cm="1">
        <f t="array" ref="I56">INDEX('Codigos Categorias'!$C:$C,MATCH(H$1&amp;H56,'Codigos Categorias'!$A:$A&amp;'Codigos Categorias'!$B:$B,0))</f>
        <v>%1c42c4f60fc0c600bad9ded0f1050e39</v>
      </c>
      <c r="K56" s="5" t="s">
        <v>195</v>
      </c>
      <c r="L56" s="5" t="s">
        <v>196</v>
      </c>
      <c r="M56" s="5" t="e" cm="1">
        <f t="array" ref="M56">INDEX('Data Points padrão'!$D:$D,MATCH(D56&amp;F56&amp;H56,'Data Points padrão'!$A:$A&amp;'Data Points padrão'!$B:$B&amp;'Data Points padrão'!$C:$C,0))</f>
        <v>#N/A</v>
      </c>
      <c r="N56" s="5" t="s">
        <v>49</v>
      </c>
    </row>
    <row r="57" spans="1:14" x14ac:dyDescent="0.3">
      <c r="A57" s="5">
        <v>4</v>
      </c>
      <c r="B57" s="5" t="s">
        <v>197</v>
      </c>
      <c r="D57" s="5" t="s">
        <v>23</v>
      </c>
      <c r="E57" s="5" t="str" cm="1">
        <f t="array" ref="E57">INDEX('Codigos Categorias'!$C:$C,MATCH(D$1&amp;D57,'Codigos Categorias'!$A:$A&amp;'Codigos Categorias'!$B:$B,0))</f>
        <v>%aff2c6640f26210058d8ded0f1050e18</v>
      </c>
      <c r="F57" s="5" t="s">
        <v>24</v>
      </c>
      <c r="G57" s="5" t="str" cm="1">
        <f t="array" ref="G57">INDEX('Codigos Categorias'!$C:$C,MATCH(F$1&amp;F57,'Codigos Categorias'!$A:$A&amp;'Codigos Categorias'!$B:$B,0))</f>
        <v>%b1e171520ff1b204fc37ded0f1050eae</v>
      </c>
      <c r="H57" s="5" t="s">
        <v>87</v>
      </c>
      <c r="I57" s="5" t="str" cm="1">
        <f t="array" ref="I57">INDEX('Codigos Categorias'!$C:$C,MATCH(H$1&amp;H57,'Codigos Categorias'!$A:$A&amp;'Codigos Categorias'!$B:$B,0))</f>
        <v>%67ed23bddbda2fc01523e6ab0b96195d</v>
      </c>
      <c r="K57" s="5" t="s">
        <v>197</v>
      </c>
      <c r="L57" s="5" t="s">
        <v>198</v>
      </c>
      <c r="M57" s="5" t="str" cm="1">
        <f t="array" ref="M57">INDEX('Data Points padrão'!$D:$D,MATCH(D57&amp;F57&amp;H57,'Data Points padrão'!$A:$A&amp;'Data Points padrão'!$B:$B&amp;'Data Points padrão'!$C:$C,0))</f>
        <v>IMPORTANT: DO NOT DELETE ANY TEXT BELOW, JUST ADD RELEVANT ANSWERS!!!
Fill in ONLY if Issue is NOT SOLVED &amp; ticket needs to be dispatched (Otherwise skip): 
UCMS logfile attached, see KB0014119? (YES/NO): no</v>
      </c>
      <c r="N57" s="5" t="s">
        <v>49</v>
      </c>
    </row>
    <row r="58" spans="1:14" x14ac:dyDescent="0.3">
      <c r="A58" s="5">
        <v>2</v>
      </c>
      <c r="B58" s="5" t="s">
        <v>199</v>
      </c>
      <c r="D58" s="5" t="s">
        <v>23</v>
      </c>
      <c r="E58" s="5" t="str" cm="1">
        <f t="array" ref="E58">INDEX('Codigos Categorias'!$C:$C,MATCH(D$1&amp;D58,'Codigos Categorias'!$A:$A&amp;'Codigos Categorias'!$B:$B,0))</f>
        <v>%aff2c6640f26210058d8ded0f1050e18</v>
      </c>
      <c r="F58" s="5" t="s">
        <v>24</v>
      </c>
      <c r="G58" s="5" t="str" cm="1">
        <f t="array" ref="G58">INDEX('Codigos Categorias'!$C:$C,MATCH(F$1&amp;F58,'Codigos Categorias'!$A:$A&amp;'Codigos Categorias'!$B:$B,0))</f>
        <v>%b1e171520ff1b204fc37ded0f1050eae</v>
      </c>
      <c r="H58" s="5" t="s">
        <v>87</v>
      </c>
      <c r="I58" s="5" t="str" cm="1">
        <f t="array" ref="I58">INDEX('Codigos Categorias'!$C:$C,MATCH(H$1&amp;H58,'Codigos Categorias'!$A:$A&amp;'Codigos Categorias'!$B:$B,0))</f>
        <v>%67ed23bddbda2fc01523e6ab0b96195d</v>
      </c>
      <c r="K58" s="5" t="s">
        <v>199</v>
      </c>
      <c r="L58" s="5" t="s">
        <v>200</v>
      </c>
      <c r="M58" s="5" t="str" cm="1">
        <f t="array" ref="M58">INDEX('Data Points padrão'!$D:$D,MATCH(D58&amp;F58&amp;H58,'Data Points padrão'!$A:$A&amp;'Data Points padrão'!$B:$B&amp;'Data Points padrão'!$C:$C,0))</f>
        <v>IMPORTANT: DO NOT DELETE ANY TEXT BELOW, JUST ADD RELEVANT ANSWERS!!!
Fill in ONLY if Issue is NOT SOLVED &amp; ticket needs to be dispatched (Otherwise skip): 
UCMS logfile attached, see KB0014119? (YES/NO): no</v>
      </c>
      <c r="N58" s="5" t="s">
        <v>85</v>
      </c>
    </row>
    <row r="59" spans="1:14" x14ac:dyDescent="0.3">
      <c r="A59" s="5">
        <v>2</v>
      </c>
      <c r="B59" s="5" t="s">
        <v>201</v>
      </c>
      <c r="D59" s="5" t="s">
        <v>59</v>
      </c>
      <c r="E59" s="5" t="str" cm="1">
        <f t="array" ref="E59">INDEX('Codigos Categorias'!$C:$C,MATCH(D$1&amp;D59,'Codigos Categorias'!$A:$A&amp;'Codigos Categorias'!$B:$B,0))</f>
        <v>%dff2c6640f26210058d8ded0f1050e12</v>
      </c>
      <c r="F59" s="5" t="s">
        <v>202</v>
      </c>
      <c r="G59" s="5" t="str" cm="1">
        <f t="array" ref="G59">INDEX('Codigos Categorias'!$C:$C,MATCH(F$1&amp;F59,'Codigos Categorias'!$A:$A&amp;'Codigos Categorias'!$B:$B,0))</f>
        <v>%53f2c6640f26210058d8ded0f1050e15</v>
      </c>
      <c r="H59" s="5" t="s">
        <v>203</v>
      </c>
      <c r="I59" s="5" t="str" cm="1">
        <f t="array" ref="I59">INDEX('Codigos Categorias'!$C:$C,MATCH(H$1&amp;H59,'Codigos Categorias'!$A:$A&amp;'Codigos Categorias'!$B:$B,0))</f>
        <v>%7112518edb97405038a1e7ba489619f8</v>
      </c>
      <c r="K59" s="5" t="s">
        <v>201</v>
      </c>
      <c r="L59" s="5" t="s">
        <v>204</v>
      </c>
      <c r="M59" s="5" t="str" cm="1">
        <f t="array" ref="M59">INDEX('Data Points padrão'!$D:$D,MATCH(D59&amp;F59&amp;H59,'Data Points padrão'!$A:$A&amp;'Data Points padrão'!$B:$B&amp;'Data Points padrão'!$C:$C,0))</f>
        <v>IMPORTANT: DO NOT DELETE ANY TEXT BELOW, JUST ADD RELEVANT ANSWERS !!!
At which steps of KB/TS the Agent failed: N/A</v>
      </c>
      <c r="N59" s="5" t="s">
        <v>85</v>
      </c>
    </row>
    <row r="60" spans="1:14" x14ac:dyDescent="0.3">
      <c r="A60" s="5">
        <v>2</v>
      </c>
      <c r="B60" s="5" t="s">
        <v>205</v>
      </c>
      <c r="D60" s="5" t="s">
        <v>59</v>
      </c>
      <c r="E60" s="5" t="str" cm="1">
        <f t="array" ref="E60">INDEX('Codigos Categorias'!$C:$C,MATCH(D$1&amp;D60,'Codigos Categorias'!$A:$A&amp;'Codigos Categorias'!$B:$B,0))</f>
        <v>%dff2c6640f26210058d8ded0f1050e12</v>
      </c>
      <c r="F60" s="5" t="s">
        <v>144</v>
      </c>
      <c r="G60" s="5" t="str" cm="1">
        <f t="array" ref="G60">INDEX('Codigos Categorias'!$C:$C,MATCH(F$1&amp;F60,'Codigos Categorias'!$A:$A&amp;'Codigos Categorias'!$B:$B,0))</f>
        <v>%ea30dfeddbf2801c22b9e7ba489619a2</v>
      </c>
      <c r="H60" s="5" t="s">
        <v>170</v>
      </c>
      <c r="I60" s="5" t="str" cm="1">
        <f t="array" ref="I60">INDEX('Codigos Categorias'!$C:$C,MATCH(H$1&amp;H60,'Codigos Categorias'!$A:$A&amp;'Codigos Categorias'!$B:$B,0))</f>
        <v>%8f305321db36801c22b9e7ba48961993</v>
      </c>
      <c r="K60" s="5" t="s">
        <v>205</v>
      </c>
      <c r="L60" s="5" t="s">
        <v>206</v>
      </c>
      <c r="M60" s="5" t="str" cm="1">
        <f t="array" ref="M60">INDEX('Data Points padrão'!$D:$D,MATCH(D60&amp;F60&amp;H60,'Data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60" s="5" t="s">
        <v>49</v>
      </c>
    </row>
    <row r="61" spans="1:14" x14ac:dyDescent="0.3">
      <c r="A61" s="5">
        <v>2</v>
      </c>
      <c r="B61" s="5" t="s">
        <v>207</v>
      </c>
      <c r="D61" s="5" t="s">
        <v>59</v>
      </c>
      <c r="E61" s="5" t="str" cm="1">
        <f t="array" ref="E61">INDEX('Codigos Categorias'!$C:$C,MATCH(D$1&amp;D61,'Codigos Categorias'!$A:$A&amp;'Codigos Categorias'!$B:$B,0))</f>
        <v>%dff2c6640f26210058d8ded0f1050e12</v>
      </c>
      <c r="F61" s="5" t="s">
        <v>60</v>
      </c>
      <c r="G61" s="5" t="str" cm="1">
        <f t="array" ref="G61">INDEX('Codigos Categorias'!$C:$C,MATCH(F$1&amp;F61,'Codigos Categorias'!$A:$A&amp;'Codigos Categorias'!$B:$B,0))</f>
        <v>%df130275db2f6f001523e6ab0b961944</v>
      </c>
      <c r="H61" s="5" t="s">
        <v>61</v>
      </c>
      <c r="I61" s="5" t="str" cm="1">
        <f t="array" ref="I61">INDEX('Codigos Categorias'!$C:$C,MATCH(H$1&amp;H61,'Codigos Categorias'!$A:$A&amp;'Codigos Categorias'!$B:$B,0))</f>
        <v>%1b60a29edbe49090baaee7ba48961940</v>
      </c>
      <c r="K61" s="5" t="s">
        <v>207</v>
      </c>
      <c r="L61" s="5" t="s">
        <v>208</v>
      </c>
      <c r="M61" s="5" t="str" cm="1">
        <f t="array" ref="M61">INDEX('Data Points padrão'!$D:$D,MATCH(D61&amp;F61&amp;H61,'Data Points padrão'!$A:$A&amp;'Data Points padrão'!$B:$B&amp;'Data Points padrão'!$C:$C,0))</f>
        <v>IMPORTANT: DO NOT DELETE ANY TEXT BELOW, JUST ADD RELEVANT ANSWERS !!!
Has OneDrive being reset? (YES/NO): no
At which steps of KB/TS it failed:
Troubleshooting steps performed:</v>
      </c>
      <c r="N61" s="5" t="s">
        <v>49</v>
      </c>
    </row>
    <row r="62" spans="1:14" x14ac:dyDescent="0.3">
      <c r="A62" s="5">
        <v>3</v>
      </c>
      <c r="B62" s="5" t="s">
        <v>209</v>
      </c>
      <c r="D62" s="5" t="s">
        <v>23</v>
      </c>
      <c r="E62" s="5" t="str" cm="1">
        <f t="array" ref="E62">INDEX('Codigos Categorias'!$C:$C,MATCH(D$1&amp;D62,'Codigos Categorias'!$A:$A&amp;'Codigos Categorias'!$B:$B,0))</f>
        <v>%aff2c6640f26210058d8ded0f1050e18</v>
      </c>
      <c r="F62" s="5" t="s">
        <v>31</v>
      </c>
      <c r="G62" s="5" t="str" cm="1">
        <f t="array" ref="G62">INDEX('Codigos Categorias'!$C:$C,MATCH(F$1&amp;F62,'Codigos Categorias'!$A:$A&amp;'Codigos Categorias'!$B:$B,0))</f>
        <v>%2bf2c6640f26210058d8ded0f1050e1b</v>
      </c>
      <c r="H62" s="5" t="s">
        <v>210</v>
      </c>
      <c r="I62" s="5" t="str" cm="1">
        <f t="array" ref="I62">INDEX('Codigos Categorias'!$C:$C,MATCH(H$1&amp;H62,'Codigos Categorias'!$A:$A&amp;'Codigos Categorias'!$B:$B,0))</f>
        <v>%b36fd8bedb6fd300eb568dba4b961972</v>
      </c>
      <c r="K62" s="5" t="s">
        <v>209</v>
      </c>
      <c r="L62" s="5" t="s">
        <v>211</v>
      </c>
      <c r="M62" s="5" t="e" cm="1">
        <f t="array" ref="M62">INDEX('Data Points padrão'!$D:$D,MATCH(D62&amp;F62&amp;H62,'Data Points padrão'!$A:$A&amp;'Data Points padrão'!$B:$B&amp;'Data Points padrão'!$C:$C,0))</f>
        <v>#N/A</v>
      </c>
      <c r="N62" s="5" t="s">
        <v>85</v>
      </c>
    </row>
    <row r="63" spans="1:14" x14ac:dyDescent="0.3">
      <c r="A63" s="5">
        <v>2</v>
      </c>
      <c r="B63" s="5" t="s">
        <v>212</v>
      </c>
      <c r="D63" s="5" t="s">
        <v>15</v>
      </c>
      <c r="E63" s="5" t="str" cm="1">
        <f t="array" ref="E63">INDEX('Codigos Categorias'!$C:$C,MATCH(D$1&amp;D63,'Codigos Categorias'!$A:$A&amp;'Codigos Categorias'!$B:$B,0))</f>
        <v>%93f2c6640f26210058d8ded0f1050e12</v>
      </c>
      <c r="F63" s="5" t="s">
        <v>16</v>
      </c>
      <c r="G63" s="5" t="str" cm="1">
        <f t="array" ref="G63">INDEX('Codigos Categorias'!$C:$C,MATCH(F$1&amp;F63,'Codigos Categorias'!$A:$A&amp;'Codigos Categorias'!$B:$B,0))</f>
        <v>%a3f2c6640f26210058d8ded0f1050e1b</v>
      </c>
      <c r="H63" s="5" t="s">
        <v>194</v>
      </c>
      <c r="I63" s="5" t="str" cm="1">
        <f t="array" ref="I63">INDEX('Codigos Categorias'!$C:$C,MATCH(H$1&amp;H63,'Codigos Categorias'!$A:$A&amp;'Codigos Categorias'!$B:$B,0))</f>
        <v>%1c42c4f60fc0c600bad9ded0f1050e39</v>
      </c>
      <c r="K63" s="5" t="s">
        <v>212</v>
      </c>
      <c r="L63" s="5" t="s">
        <v>213</v>
      </c>
      <c r="M63" s="5" t="e" cm="1">
        <f t="array" ref="M63">INDEX('Data Points padrão'!$D:$D,MATCH(D63&amp;F63&amp;H63,'Data Points padrão'!$A:$A&amp;'Data Points padrão'!$B:$B&amp;'Data Points padrão'!$C:$C,0))</f>
        <v>#N/A</v>
      </c>
      <c r="N63" s="5" t="s">
        <v>85</v>
      </c>
    </row>
    <row r="64" spans="1:14" x14ac:dyDescent="0.3">
      <c r="A64" s="5">
        <v>2</v>
      </c>
      <c r="B64" s="5" t="s">
        <v>214</v>
      </c>
      <c r="D64" s="5" t="s">
        <v>23</v>
      </c>
      <c r="E64" s="5" t="str" cm="1">
        <f t="array" ref="E64">INDEX('Codigos Categorias'!$C:$C,MATCH(D$1&amp;D64,'Codigos Categorias'!$A:$A&amp;'Codigos Categorias'!$B:$B,0))</f>
        <v>%aff2c6640f26210058d8ded0f1050e18</v>
      </c>
      <c r="F64" s="5" t="s">
        <v>24</v>
      </c>
      <c r="G64" s="5" t="str" cm="1">
        <f t="array" ref="G64">INDEX('Codigos Categorias'!$C:$C,MATCH(F$1&amp;F64,'Codigos Categorias'!$A:$A&amp;'Codigos Categorias'!$B:$B,0))</f>
        <v>%b1e171520ff1b204fc37ded0f1050eae</v>
      </c>
      <c r="H64" s="5" t="s">
        <v>97</v>
      </c>
      <c r="I64" s="5" t="str" cm="1">
        <f t="array" ref="I64">INDEX('Codigos Categorias'!$C:$C,MATCH(H$1&amp;H64,'Codigos Categorias'!$A:$A&amp;'Codigos Categorias'!$B:$B,0))</f>
        <v>%cd5e668b0ffe3a00cd6eded0f1050ed5</v>
      </c>
      <c r="K64" s="5" t="s">
        <v>214</v>
      </c>
      <c r="L64" s="5" t="s">
        <v>215</v>
      </c>
      <c r="M64" s="5" t="str" cm="1">
        <f t="array" ref="M64">INDEX('Data Points padrão'!$D:$D,MATCH(D64&amp;F64&amp;H64,'Data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64" s="5" t="s">
        <v>85</v>
      </c>
    </row>
    <row r="65" spans="1:14" x14ac:dyDescent="0.3">
      <c r="A65" s="5">
        <v>6</v>
      </c>
      <c r="B65" s="5" t="s">
        <v>216</v>
      </c>
      <c r="D65" s="5" t="s">
        <v>44</v>
      </c>
      <c r="E65" s="5" t="str" cm="1">
        <f t="array" ref="E65">INDEX('Codigos Categorias'!$C:$C,MATCH(D$1&amp;D65,'Codigos Categorias'!$A:$A&amp;'Codigos Categorias'!$B:$B,0))</f>
        <v>%e7f2c6640f26210058d8ded0f1050e18</v>
      </c>
      <c r="F65" s="5" t="s">
        <v>45</v>
      </c>
      <c r="G65" s="5" t="str" cm="1">
        <f t="array" ref="G65">INDEX('Codigos Categorias'!$C:$C,MATCH(F$1&amp;F65,'Codigos Categorias'!$A:$A&amp;'Codigos Categorias'!$B:$B,0))</f>
        <v>%6ff2c6640f26210058d8ded0f1050e18</v>
      </c>
      <c r="H65" s="5" t="s">
        <v>46</v>
      </c>
      <c r="I65" s="5" t="str" cm="1">
        <f t="array" ref="I65">INDEX('Codigos Categorias'!$C:$C,MATCH(H$1&amp;H65,'Codigos Categorias'!$A:$A&amp;'Codigos Categorias'!$B:$B,0))</f>
        <v>%790cd201dbdf73808f71e6ab0b961996</v>
      </c>
      <c r="K65" s="5" t="s">
        <v>217</v>
      </c>
      <c r="L65" s="5" t="s">
        <v>716</v>
      </c>
      <c r="M65" s="5" t="e" cm="1">
        <f t="array" ref="M65">INDEX('Data Points padrão'!$D:$D,MATCH(D65&amp;F65&amp;H65,'Data Points padrão'!$A:$A&amp;'Data Points padrão'!$B:$B&amp;'Data Points padrão'!$C:$C,0))</f>
        <v>#N/A</v>
      </c>
      <c r="N65" s="5" t="s">
        <v>85</v>
      </c>
    </row>
    <row r="66" spans="1:14" x14ac:dyDescent="0.3">
      <c r="A66" s="5">
        <v>2</v>
      </c>
      <c r="B66" s="5" t="s">
        <v>218</v>
      </c>
      <c r="D66" s="5" t="s">
        <v>110</v>
      </c>
      <c r="E66" s="5" t="str" cm="1">
        <f t="array" ref="E66">INDEX('Codigos Categorias'!$C:$C,MATCH(D$1&amp;D66,'Codigos Categorias'!$A:$A&amp;'Codigos Categorias'!$B:$B,0))</f>
        <v>%97f2c6640f26210058d8ded0f1050e15</v>
      </c>
      <c r="F66" s="5" t="s">
        <v>111</v>
      </c>
      <c r="G66" s="5" t="str" cm="1">
        <f t="array" ref="G66">INDEX('Codigos Categorias'!$C:$C,MATCH(F$1&amp;F66,'Codigos Categorias'!$A:$A&amp;'Codigos Categorias'!$B:$B,0))</f>
        <v>%e9942fe30f793100bad9ded0f1050e3a</v>
      </c>
      <c r="H66" s="5" t="s">
        <v>219</v>
      </c>
      <c r="I66" s="5" t="str" cm="1">
        <f t="array" ref="I66">INDEX('Codigos Categorias'!$C:$C,MATCH(H$1&amp;H66,'Codigos Categorias'!$A:$A&amp;'Codigos Categorias'!$B:$B,0))</f>
        <v>%23f2c6640f26210058d8ded0f1050e1b</v>
      </c>
      <c r="K66" s="5" t="s">
        <v>218</v>
      </c>
      <c r="L66" s="5" t="s">
        <v>220</v>
      </c>
      <c r="M66" s="5" t="str" cm="1">
        <f t="array" ref="M66">INDEX('Data Points padrão'!$D:$D,MATCH(D66&amp;F66&amp;H66,'Data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c r="N66" s="5" t="s">
        <v>85</v>
      </c>
    </row>
    <row r="67" spans="1:14" x14ac:dyDescent="0.3">
      <c r="A67" s="5">
        <v>1</v>
      </c>
      <c r="B67" s="5" t="s">
        <v>221</v>
      </c>
      <c r="D67" s="5" t="s">
        <v>23</v>
      </c>
      <c r="E67" s="5" t="str" cm="1">
        <f t="array" ref="E67">INDEX('Codigos Categorias'!$C:$C,MATCH(D$1&amp;D67,'Codigos Categorias'!$A:$A&amp;'Codigos Categorias'!$B:$B,0))</f>
        <v>%aff2c6640f26210058d8ded0f1050e18</v>
      </c>
      <c r="F67" s="5" t="s">
        <v>24</v>
      </c>
      <c r="G67" s="5" t="str" cm="1">
        <f t="array" ref="G67">INDEX('Codigos Categorias'!$C:$C,MATCH(F$1&amp;F67,'Codigos Categorias'!$A:$A&amp;'Codigos Categorias'!$B:$B,0))</f>
        <v>%b1e171520ff1b204fc37ded0f1050eae</v>
      </c>
      <c r="H67" s="5" t="s">
        <v>67</v>
      </c>
      <c r="I67" s="5" t="str" cm="1">
        <f t="array" ref="I67">INDEX('Codigos Categorias'!$C:$C,MATCH(H$1&amp;H67,'Codigos Categorias'!$A:$A&amp;'Codigos Categorias'!$B:$B,0))</f>
        <v>%416ac46fdb032fcc1523e6ab0b9619f2</v>
      </c>
      <c r="K67" s="5" t="s">
        <v>222</v>
      </c>
      <c r="L67" s="5" t="s">
        <v>223</v>
      </c>
      <c r="M67" s="5" t="str" cm="1">
        <f t="array" ref="M67">INDEX('Data Points padrão'!$D:$D,MATCH(D67&amp;F67&amp;H67,'Data Points padrão'!$A:$A&amp;'Data Points padrão'!$B:$B&amp;'Data Points padrão'!$C:$C,0))</f>
        <v>IMPORTANT: DO NOT DELETE ANY TEXT BELOW, JUST ADD RELEVANT ANSWERS!!!
Fill in ONLY if Issue is NOT SOLVED &amp; ticket needs to be dispatched (Otherwise skip): 
UCMS logfile attached, see KB0014119 (YES/NO): no</v>
      </c>
      <c r="N67" s="5" t="s">
        <v>85</v>
      </c>
    </row>
    <row r="68" spans="1:14" x14ac:dyDescent="0.3">
      <c r="A68" s="5">
        <v>1</v>
      </c>
      <c r="B68" s="5" t="s">
        <v>224</v>
      </c>
      <c r="D68" s="5" t="s">
        <v>59</v>
      </c>
      <c r="E68" s="5" t="str" cm="1">
        <f t="array" ref="E68">INDEX('Codigos Categorias'!$C:$C,MATCH(D$1&amp;D68,'Codigos Categorias'!$A:$A&amp;'Codigos Categorias'!$B:$B,0))</f>
        <v>%dff2c6640f26210058d8ded0f1050e12</v>
      </c>
      <c r="F68" s="5" t="s">
        <v>144</v>
      </c>
      <c r="G68" s="5" t="str" cm="1">
        <f t="array" ref="G68">INDEX('Codigos Categorias'!$C:$C,MATCH(F$1&amp;F68,'Codigos Categorias'!$A:$A&amp;'Codigos Categorias'!$B:$B,0))</f>
        <v>%ea30dfeddbf2801c22b9e7ba489619a2</v>
      </c>
      <c r="H68" s="5" t="s">
        <v>225</v>
      </c>
      <c r="I68" s="5" t="str" cm="1">
        <f t="array" ref="I68">INDEX('Codigos Categorias'!$C:$C,MATCH(H$1&amp;H68,'Codigos Categorias'!$A:$A&amp;'Codigos Categorias'!$B:$B,0))</f>
        <v>%2d405721db36801c22b9e7ba48961989</v>
      </c>
      <c r="K68" s="5" t="s">
        <v>226</v>
      </c>
      <c r="L68" s="5" t="s">
        <v>227</v>
      </c>
      <c r="M68" s="5" t="e" cm="1">
        <f t="array" ref="M68">INDEX('Data Points padrão'!$D:$D,MATCH(D68&amp;F68&amp;H68,'Data Points padrão'!$A:$A&amp;'Data Points padrão'!$B:$B&amp;'Data Points padrão'!$C:$C,0))</f>
        <v>#N/A</v>
      </c>
      <c r="N68" s="5" t="s">
        <v>85</v>
      </c>
    </row>
    <row r="69" spans="1:14" x14ac:dyDescent="0.3">
      <c r="A69" s="5">
        <v>1</v>
      </c>
      <c r="B69" s="5" t="s">
        <v>228</v>
      </c>
      <c r="D69" s="5" t="s">
        <v>59</v>
      </c>
      <c r="E69" s="5" t="str" cm="1">
        <f t="array" ref="E69">INDEX('Codigos Categorias'!$C:$C,MATCH(D$1&amp;D69,'Codigos Categorias'!$A:$A&amp;'Codigos Categorias'!$B:$B,0))</f>
        <v>%dff2c6640f26210058d8ded0f1050e12</v>
      </c>
      <c r="F69" s="5" t="s">
        <v>144</v>
      </c>
      <c r="G69" s="5" t="str" cm="1">
        <f t="array" ref="G69">INDEX('Codigos Categorias'!$C:$C,MATCH(F$1&amp;F69,'Codigos Categorias'!$A:$A&amp;'Codigos Categorias'!$B:$B,0))</f>
        <v>%ea30dfeddbf2801c22b9e7ba489619a2</v>
      </c>
      <c r="H69" s="5" t="s">
        <v>170</v>
      </c>
      <c r="I69" s="5" t="str" cm="1">
        <f t="array" ref="I69">INDEX('Codigos Categorias'!$C:$C,MATCH(H$1&amp;H69,'Codigos Categorias'!$A:$A&amp;'Codigos Categorias'!$B:$B,0))</f>
        <v>%8f305321db36801c22b9e7ba48961993</v>
      </c>
      <c r="K69" s="5" t="s">
        <v>228</v>
      </c>
      <c r="L69" s="5" t="s">
        <v>229</v>
      </c>
      <c r="M69" s="5" t="str" cm="1">
        <f t="array" ref="M69">INDEX('Data Points padrão'!$D:$D,MATCH(D69&amp;F69&amp;H69,'Data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69" s="5" t="s">
        <v>85</v>
      </c>
    </row>
    <row r="70" spans="1:14" x14ac:dyDescent="0.3">
      <c r="A70" s="5">
        <v>1</v>
      </c>
      <c r="B70" s="5" t="s">
        <v>230</v>
      </c>
      <c r="D70" s="5" t="s">
        <v>59</v>
      </c>
      <c r="E70" s="5" t="str" cm="1">
        <f t="array" ref="E70">INDEX('Codigos Categorias'!$C:$C,MATCH(D$1&amp;D70,'Codigos Categorias'!$A:$A&amp;'Codigos Categorias'!$B:$B,0))</f>
        <v>%dff2c6640f26210058d8ded0f1050e12</v>
      </c>
      <c r="F70" s="5" t="s">
        <v>144</v>
      </c>
      <c r="G70" s="5" t="str" cm="1">
        <f t="array" ref="G70">INDEX('Codigos Categorias'!$C:$C,MATCH(F$1&amp;F70,'Codigos Categorias'!$A:$A&amp;'Codigos Categorias'!$B:$B,0))</f>
        <v>%ea30dfeddbf2801c22b9e7ba489619a2</v>
      </c>
      <c r="H70" s="5" t="s">
        <v>231</v>
      </c>
      <c r="I70" s="5" t="str" cm="1">
        <f t="array" ref="I70">INDEX('Codigos Categorias'!$C:$C,MATCH(H$1&amp;H70,'Codigos Categorias'!$A:$A&amp;'Codigos Categorias'!$B:$B,0))</f>
        <v>%36405b21db36801c22b9e7ba48961930</v>
      </c>
      <c r="K70" s="5" t="s">
        <v>230</v>
      </c>
      <c r="L70" s="5" t="s">
        <v>232</v>
      </c>
      <c r="M70" s="5" t="str" cm="1">
        <f t="array" ref="M70">INDEX('Data Points padrão'!$D:$D,MATCH(D70&amp;F70&amp;H70,'Data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70" s="5" t="s">
        <v>49</v>
      </c>
    </row>
    <row r="71" spans="1:14" x14ac:dyDescent="0.3">
      <c r="A71" s="5">
        <v>1</v>
      </c>
      <c r="B71" s="5" t="s">
        <v>233</v>
      </c>
      <c r="D71" s="5" t="s">
        <v>59</v>
      </c>
      <c r="E71" s="5" t="str" cm="1">
        <f t="array" ref="E71">INDEX('Codigos Categorias'!$C:$C,MATCH(D$1&amp;D71,'Codigos Categorias'!$A:$A&amp;'Codigos Categorias'!$B:$B,0))</f>
        <v>%dff2c6640f26210058d8ded0f1050e12</v>
      </c>
      <c r="F71" s="5" t="s">
        <v>144</v>
      </c>
      <c r="G71" s="5" t="str" cm="1">
        <f t="array" ref="G71">INDEX('Codigos Categorias'!$C:$C,MATCH(F$1&amp;F71,'Codigos Categorias'!$A:$A&amp;'Codigos Categorias'!$B:$B,0))</f>
        <v>%ea30dfeddbf2801c22b9e7ba489619a2</v>
      </c>
      <c r="H71" s="5" t="s">
        <v>231</v>
      </c>
      <c r="I71" s="5" t="str" cm="1">
        <f t="array" ref="I71">INDEX('Codigos Categorias'!$C:$C,MATCH(H$1&amp;H71,'Codigos Categorias'!$A:$A&amp;'Codigos Categorias'!$B:$B,0))</f>
        <v>%36405b21db36801c22b9e7ba48961930</v>
      </c>
      <c r="K71" s="5" t="s">
        <v>233</v>
      </c>
      <c r="L71" s="5" t="s">
        <v>234</v>
      </c>
      <c r="M71" s="5" t="str" cm="1">
        <f t="array" ref="M71">INDEX('Data Points padrão'!$D:$D,MATCH(D71&amp;F71&amp;H71,'Data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71" s="5" t="s">
        <v>85</v>
      </c>
    </row>
    <row r="72" spans="1:14" x14ac:dyDescent="0.3">
      <c r="A72" s="5">
        <v>2</v>
      </c>
      <c r="B72" s="5" t="s">
        <v>235</v>
      </c>
      <c r="D72" s="5" t="s">
        <v>59</v>
      </c>
      <c r="E72" s="5" t="str" cm="1">
        <f t="array" ref="E72">INDEX('Codigos Categorias'!$C:$C,MATCH(D$1&amp;D72,'Codigos Categorias'!$A:$A&amp;'Codigos Categorias'!$B:$B,0))</f>
        <v>%dff2c6640f26210058d8ded0f1050e12</v>
      </c>
      <c r="F72" s="5" t="s">
        <v>60</v>
      </c>
      <c r="G72" s="5" t="str" cm="1">
        <f t="array" ref="G72">INDEX('Codigos Categorias'!$C:$C,MATCH(F$1&amp;F72,'Codigos Categorias'!$A:$A&amp;'Codigos Categorias'!$B:$B,0))</f>
        <v>%df130275db2f6f001523e6ab0b961944</v>
      </c>
      <c r="H72" s="5" t="s">
        <v>236</v>
      </c>
      <c r="I72" s="5" t="str" cm="1">
        <f t="array" ref="I72">INDEX('Codigos Categorias'!$C:$C,MATCH(H$1&amp;H72,'Codigos Categorias'!$A:$A&amp;'Codigos Categorias'!$B:$B,0))</f>
        <v>%8390a2dedbe49090baaee7ba489619e8</v>
      </c>
      <c r="K72" s="5" t="s">
        <v>235</v>
      </c>
      <c r="L72" s="5" t="s">
        <v>237</v>
      </c>
      <c r="M72" s="5" t="str" cm="1">
        <f t="array" ref="M72">INDEX('Data Points padrão'!$D:$D,MATCH(D72&amp;F72&amp;H72,'Data Points padrão'!$A:$A&amp;'Data Points padrão'!$B:$B&amp;'Data Points padrão'!$C:$C,0))</f>
        <v>IMPORTANT: DO NOT DELETE ANY TEXT BELOW, JUST ADD RELEVANT ANSWERS !!!
Is the license already available for end-user? (YES/NO): yes
Has OneDrive been re-installed? (YES/NO): 
At which steps of KB/TS the Agent failed:
Confirmation that part of TS was done:</v>
      </c>
      <c r="N72" s="5" t="s">
        <v>85</v>
      </c>
    </row>
    <row r="73" spans="1:14" x14ac:dyDescent="0.3">
      <c r="A73" s="5">
        <v>2</v>
      </c>
      <c r="B73" s="5" t="s">
        <v>238</v>
      </c>
      <c r="D73" s="5" t="s">
        <v>80</v>
      </c>
      <c r="E73" s="5" t="str" cm="1">
        <f t="array" ref="E73">INDEX('Codigos Categorias'!$C:$C,MATCH(D$1&amp;D73,'Codigos Categorias'!$A:$A&amp;'Codigos Categorias'!$B:$B,0))</f>
        <v>%13f2c6640f26210058d8ded0f1050e16</v>
      </c>
      <c r="F73" s="5" t="s">
        <v>93</v>
      </c>
      <c r="G73" s="5" t="str" cm="1">
        <f t="array" ref="G73">INDEX('Codigos Categorias'!$C:$C,MATCH(F$1&amp;F73,'Codigos Categorias'!$A:$A&amp;'Codigos Categorias'!$B:$B,0))</f>
        <v>%23f2c6640f26210058d8ded0f1050e17</v>
      </c>
      <c r="H73" s="5" t="s">
        <v>82</v>
      </c>
      <c r="I73" s="5" t="str" cm="1">
        <f t="array" ref="I73">INDEX('Codigos Categorias'!$C:$C,MATCH(H$1&amp;H73,'Codigos Categorias'!$A:$A&amp;'Codigos Categorias'!$B:$B,0))</f>
        <v>%17f2c6640f26210058d8ded0f1050e16</v>
      </c>
      <c r="K73" s="5" t="s">
        <v>238</v>
      </c>
      <c r="L73" s="5" t="s">
        <v>240</v>
      </c>
      <c r="M73" s="5" t="e" cm="1">
        <f t="array" ref="M73">INDEX('Data Points padrão'!$D:$D,MATCH(D73&amp;F73&amp;H73,'Data Points padrão'!$A:$A&amp;'Data Points padrão'!$B:$B&amp;'Data Points padrão'!$C:$C,0))</f>
        <v>#N/A</v>
      </c>
      <c r="N73" s="5" t="s">
        <v>85</v>
      </c>
    </row>
    <row r="74" spans="1:14" x14ac:dyDescent="0.3">
      <c r="B74" s="5" t="s">
        <v>241</v>
      </c>
      <c r="D74" s="5" t="s">
        <v>23</v>
      </c>
      <c r="E74" s="5" t="str" cm="1">
        <f t="array" ref="E74">INDEX('Codigos Categorias'!$C:$C,MATCH(D$1&amp;D74,'Codigos Categorias'!$A:$A&amp;'Codigos Categorias'!$B:$B,0))</f>
        <v>%aff2c6640f26210058d8ded0f1050e18</v>
      </c>
      <c r="F74" s="5" t="s">
        <v>24</v>
      </c>
      <c r="G74" s="5" t="str" cm="1">
        <f t="array" ref="G74">INDEX('Codigos Categorias'!$C:$C,MATCH(F$1&amp;F74,'Codigos Categorias'!$A:$A&amp;'Codigos Categorias'!$B:$B,0))</f>
        <v>%b1e171520ff1b204fc37ded0f1050eae</v>
      </c>
      <c r="H74" s="5" t="s">
        <v>87</v>
      </c>
      <c r="I74" s="5" t="str" cm="1">
        <f t="array" ref="I74">INDEX('Codigos Categorias'!$C:$C,MATCH(H$1&amp;H74,'Codigos Categorias'!$A:$A&amp;'Codigos Categorias'!$B:$B,0))</f>
        <v>%67ed23bddbda2fc01523e6ab0b96195d</v>
      </c>
      <c r="K74" s="5" t="s">
        <v>242</v>
      </c>
      <c r="L74" s="5" t="s">
        <v>243</v>
      </c>
      <c r="M74" s="5" t="str" cm="1">
        <f t="array" ref="M74">INDEX('Data Points padrão'!$D:$D,MATCH(D74&amp;F74&amp;H74,'Data Points padrão'!$A:$A&amp;'Data Points padrão'!$B:$B&amp;'Data Points padrão'!$C:$C,0))</f>
        <v>IMPORTANT: DO NOT DELETE ANY TEXT BELOW, JUST ADD RELEVANT ANSWERS!!!
Fill in ONLY if Issue is NOT SOLVED &amp; ticket needs to be dispatched (Otherwise skip): 
UCMS logfile attached, see KB0014119? (YES/NO): no</v>
      </c>
      <c r="N74" s="5" t="s">
        <v>85</v>
      </c>
    </row>
    <row r="75" spans="1:14" x14ac:dyDescent="0.3">
      <c r="A75" s="5">
        <v>12</v>
      </c>
      <c r="B75" s="5" t="s">
        <v>244</v>
      </c>
      <c r="D75" s="5" t="s">
        <v>23</v>
      </c>
      <c r="E75" s="5" t="str" cm="1">
        <f t="array" ref="E75">INDEX('Codigos Categorias'!$C:$C,MATCH(D$1&amp;D75,'Codigos Categorias'!$A:$A&amp;'Codigos Categorias'!$B:$B,0))</f>
        <v>%aff2c6640f26210058d8ded0f1050e18</v>
      </c>
      <c r="F75" s="5" t="s">
        <v>24</v>
      </c>
      <c r="G75" s="5" t="str" cm="1">
        <f t="array" ref="G75">INDEX('Codigos Categorias'!$C:$C,MATCH(F$1&amp;F75,'Codigos Categorias'!$A:$A&amp;'Codigos Categorias'!$B:$B,0))</f>
        <v>%b1e171520ff1b204fc37ded0f1050eae</v>
      </c>
      <c r="H75" s="5" t="s">
        <v>25</v>
      </c>
      <c r="I75" s="5" t="str" cm="1">
        <f t="array" ref="I75">INDEX('Codigos Categorias'!$C:$C,MATCH(H$1&amp;H75,'Codigos Categorias'!$A:$A&amp;'Codigos Categorias'!$B:$B,0))</f>
        <v>%fabe66cb0ffe3a00cd6eded0f1050e6e</v>
      </c>
      <c r="K75" s="5" t="s">
        <v>245</v>
      </c>
      <c r="L75" s="5" t="s">
        <v>246</v>
      </c>
      <c r="M75" s="5" t="str" cm="1">
        <f t="array" ref="M75">INDEX('Data Points padrão'!$D:$D,MATCH(D75&amp;F75&amp;H75,'Data Points padrão'!$A:$A&amp;'Data Points padrão'!$B:$B&amp;'Data Points padrão'!$C:$C,0))</f>
        <v>IMPORTANT: DO NOT DELETE ANY TEXT BELOW, JUST ADD RELEVANT ANSWERS!!!
Fill in for 20H2 rollback request (Otherwise skip): 
Client name:
Device Mac address: 
Reason why 20H2 rollback is required: not required</v>
      </c>
      <c r="N75" s="5" t="s">
        <v>49</v>
      </c>
    </row>
    <row r="76" spans="1:14" x14ac:dyDescent="0.3">
      <c r="A76" s="5">
        <v>5</v>
      </c>
      <c r="B76" s="5" t="s">
        <v>247</v>
      </c>
      <c r="D76" s="5" t="s">
        <v>110</v>
      </c>
      <c r="E76" s="5" t="str" cm="1">
        <f t="array" ref="E76">INDEX('Codigos Categorias'!$C:$C,MATCH(D$1&amp;D76,'Codigos Categorias'!$A:$A&amp;'Codigos Categorias'!$B:$B,0))</f>
        <v>%97f2c6640f26210058d8ded0f1050e15</v>
      </c>
      <c r="F76" s="5" t="s">
        <v>111</v>
      </c>
      <c r="G76" s="5" t="str" cm="1">
        <f t="array" ref="G76">INDEX('Codigos Categorias'!$C:$C,MATCH(F$1&amp;F76,'Codigos Categorias'!$A:$A&amp;'Codigos Categorias'!$B:$B,0))</f>
        <v>%e9942fe30f793100bad9ded0f1050e3a</v>
      </c>
      <c r="H76" s="5" t="s">
        <v>219</v>
      </c>
      <c r="I76" s="5" t="str" cm="1">
        <f t="array" ref="I76">INDEX('Codigos Categorias'!$C:$C,MATCH(H$1&amp;H76,'Codigos Categorias'!$A:$A&amp;'Codigos Categorias'!$B:$B,0))</f>
        <v>%23f2c6640f26210058d8ded0f1050e1b</v>
      </c>
      <c r="K76" s="5" t="s">
        <v>248</v>
      </c>
      <c r="L76" s="5" t="s">
        <v>249</v>
      </c>
      <c r="M76" s="5" t="str" cm="1">
        <f t="array" ref="M76">INDEX('Data Points padrão'!$D:$D,MATCH(D76&amp;F76&amp;H76,'Data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c r="N76" s="5" t="s">
        <v>49</v>
      </c>
    </row>
    <row r="77" spans="1:14" x14ac:dyDescent="0.3">
      <c r="A77" s="5">
        <v>5</v>
      </c>
      <c r="B77" s="5" t="s">
        <v>646</v>
      </c>
      <c r="D77" s="5" t="s">
        <v>59</v>
      </c>
      <c r="E77" s="5" t="str" cm="1">
        <f t="array" ref="E77">INDEX('Codigos Categorias'!$C:$C,MATCH(D$1&amp;D77,'Codigos Categorias'!$A:$A&amp;'Codigos Categorias'!$B:$B,0))</f>
        <v>%dff2c6640f26210058d8ded0f1050e12</v>
      </c>
      <c r="F77" s="5" t="s">
        <v>144</v>
      </c>
      <c r="G77" s="5" t="str" cm="1">
        <f t="array" ref="G77">INDEX('Codigos Categorias'!$C:$C,MATCH(F$1&amp;F77,'Codigos Categorias'!$A:$A&amp;'Codigos Categorias'!$B:$B,0))</f>
        <v>%ea30dfeddbf2801c22b9e7ba489619a2</v>
      </c>
      <c r="H77" s="5" t="s">
        <v>251</v>
      </c>
      <c r="I77" s="5" t="str" cm="1">
        <f t="array" ref="I77">INDEX('Codigos Categorias'!$C:$C,MATCH(H$1&amp;H77,'Codigos Categorias'!$A:$A&amp;'Codigos Categorias'!$B:$B,0))</f>
        <v>%e440d321db36801c22b9e7ba489619c3</v>
      </c>
      <c r="K77" s="5" t="s">
        <v>250</v>
      </c>
      <c r="L77" s="5" t="s">
        <v>645</v>
      </c>
      <c r="M77" s="5" t="str" cm="1">
        <f t="array" ref="M77">INDEX('Data Points padrão'!$D:$D,MATCH(D77&amp;F77&amp;H77,'Data Points padrão'!$A:$A&amp;'Data Points padrão'!$B:$B&amp;'Data Points padrão'!$C:$C,0))</f>
        <v xml:space="preserve">IMPORTANT: DO NOT DELETE ANY TEXT BELOW, JUST ADD RELEVANT ANSWERS !!!
Is it working from OWA? (YES/NO):
Affected e-mail/s or mailboxes:
OS Version, see KB0130614:
Outlook Version, see KB0019722:
Type of Network connection (e.g. Office LAN, Home Office): all
</v>
      </c>
      <c r="N77" s="5" t="s">
        <v>85</v>
      </c>
    </row>
    <row r="78" spans="1:14" x14ac:dyDescent="0.3">
      <c r="A78" s="5">
        <v>1</v>
      </c>
      <c r="B78" s="5" t="s">
        <v>252</v>
      </c>
      <c r="D78" s="5" t="s">
        <v>23</v>
      </c>
      <c r="E78" s="5" t="str" cm="1">
        <f t="array" ref="E78">INDEX('Codigos Categorias'!$C:$C,MATCH(D$1&amp;D78,'Codigos Categorias'!$A:$A&amp;'Codigos Categorias'!$B:$B,0))</f>
        <v>%aff2c6640f26210058d8ded0f1050e18</v>
      </c>
      <c r="F78" s="5" t="s">
        <v>253</v>
      </c>
      <c r="G78" s="5" t="str" cm="1">
        <f t="array" ref="G78">INDEX('Codigos Categorias'!$C:$C,MATCH(F$1&amp;F78,'Codigos Categorias'!$A:$A&amp;'Codigos Categorias'!$B:$B,0))</f>
        <v>%28f42672db287fc07f4f5b06ca961979</v>
      </c>
      <c r="H78" s="5" t="s">
        <v>254</v>
      </c>
      <c r="I78" s="5" t="str" cm="1">
        <f t="array" ref="I78">INDEX('Codigos Categorias'!$C:$C,MATCH(H$1&amp;H78,'Codigos Categorias'!$A:$A&amp;'Codigos Categorias'!$B:$B,0))</f>
        <v>%93b9a839db2db7800abc5b06ca9619ba</v>
      </c>
      <c r="K78" s="5" t="s">
        <v>252</v>
      </c>
      <c r="L78" s="5" t="s">
        <v>255</v>
      </c>
      <c r="M78" s="5" t="e" cm="1">
        <f t="array" ref="M78">INDEX('Data Points padrão'!$D:$D,MATCH(D78&amp;F78&amp;H78,'Data Points padrão'!$A:$A&amp;'Data Points padrão'!$B:$B&amp;'Data Points padrão'!$C:$C,0))</f>
        <v>#N/A</v>
      </c>
      <c r="N78" s="5" t="s">
        <v>49</v>
      </c>
    </row>
    <row r="79" spans="1:14" x14ac:dyDescent="0.3">
      <c r="A79" s="5">
        <v>1</v>
      </c>
      <c r="B79" s="5" t="s">
        <v>256</v>
      </c>
      <c r="D79" s="5" t="s">
        <v>80</v>
      </c>
      <c r="E79" s="5" t="str" cm="1">
        <f t="array" ref="E79">INDEX('Codigos Categorias'!$C:$C,MATCH(D$1&amp;D79,'Codigos Categorias'!$A:$A&amp;'Codigos Categorias'!$B:$B,0))</f>
        <v>%13f2c6640f26210058d8ded0f1050e16</v>
      </c>
      <c r="F79" s="5" t="s">
        <v>81</v>
      </c>
      <c r="G79" s="5" t="str" cm="1">
        <f t="array" ref="G79">INDEX('Codigos Categorias'!$C:$C,MATCH(F$1&amp;F79,'Codigos Categorias'!$A:$A&amp;'Codigos Categorias'!$B:$B,0))</f>
        <v>%93f2c6640f26210058d8ded0f1050e16</v>
      </c>
      <c r="H79" s="5" t="s">
        <v>82</v>
      </c>
      <c r="I79" s="5" t="str" cm="1">
        <f t="array" ref="I79">INDEX('Codigos Categorias'!$C:$C,MATCH(H$1&amp;H79,'Codigos Categorias'!$A:$A&amp;'Codigos Categorias'!$B:$B,0))</f>
        <v>%17f2c6640f26210058d8ded0f1050e16</v>
      </c>
      <c r="K79" s="5" t="s">
        <v>256</v>
      </c>
      <c r="L79" s="5" t="s">
        <v>257</v>
      </c>
      <c r="M79" s="5" t="str" cm="1">
        <f t="array" ref="M79">INDEX('Data Points padrão'!$D:$D,MATCH(D79&amp;F79&amp;H79,'Data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79" s="5" t="s">
        <v>85</v>
      </c>
    </row>
    <row r="80" spans="1:14" x14ac:dyDescent="0.3">
      <c r="A80" s="5">
        <v>7</v>
      </c>
      <c r="B80" s="5" t="s">
        <v>258</v>
      </c>
      <c r="D80" s="5" t="s">
        <v>15</v>
      </c>
      <c r="E80" s="5" t="str" cm="1">
        <f t="array" ref="E80">INDEX('Codigos Categorias'!$C:$C,MATCH(D$1&amp;D80,'Codigos Categorias'!$A:$A&amp;'Codigos Categorias'!$B:$B,0))</f>
        <v>%93f2c6640f26210058d8ded0f1050e12</v>
      </c>
      <c r="F80" s="5" t="s">
        <v>16</v>
      </c>
      <c r="G80" s="5" t="str" cm="1">
        <f t="array" ref="G80">INDEX('Codigos Categorias'!$C:$C,MATCH(F$1&amp;F80,'Codigos Categorias'!$A:$A&amp;'Codigos Categorias'!$B:$B,0))</f>
        <v>%a3f2c6640f26210058d8ded0f1050e1b</v>
      </c>
      <c r="H80" s="5" t="s">
        <v>194</v>
      </c>
      <c r="I80" s="5" t="str" cm="1">
        <f t="array" ref="I80">INDEX('Codigos Categorias'!$C:$C,MATCH(H$1&amp;H80,'Codigos Categorias'!$A:$A&amp;'Codigos Categorias'!$B:$B,0))</f>
        <v>%1c42c4f60fc0c600bad9ded0f1050e39</v>
      </c>
      <c r="K80" s="5" t="s">
        <v>258</v>
      </c>
      <c r="L80" s="5" t="s">
        <v>259</v>
      </c>
      <c r="M80" s="5" t="e" cm="1">
        <f t="array" ref="M80">INDEX('Data Points padrão'!$D:$D,MATCH(D80&amp;F80&amp;H80,'Data Points padrão'!$A:$A&amp;'Data Points padrão'!$B:$B&amp;'Data Points padrão'!$C:$C,0))</f>
        <v>#N/A</v>
      </c>
      <c r="N80" s="5" t="s">
        <v>85</v>
      </c>
    </row>
    <row r="81" spans="1:14" x14ac:dyDescent="0.3">
      <c r="A81" s="5">
        <v>3</v>
      </c>
      <c r="B81" s="5" t="s">
        <v>260</v>
      </c>
      <c r="D81" s="5" t="s">
        <v>23</v>
      </c>
      <c r="E81" s="5" t="str" cm="1">
        <f t="array" ref="E81">INDEX('Codigos Categorias'!$C:$C,MATCH(D$1&amp;D81,'Codigos Categorias'!$A:$A&amp;'Codigos Categorias'!$B:$B,0))</f>
        <v>%aff2c6640f26210058d8ded0f1050e18</v>
      </c>
      <c r="F81" s="5" t="s">
        <v>31</v>
      </c>
      <c r="G81" s="5" t="str" cm="1">
        <f t="array" ref="G81">INDEX('Codigos Categorias'!$C:$C,MATCH(F$1&amp;F81,'Codigos Categorias'!$A:$A&amp;'Codigos Categorias'!$B:$B,0))</f>
        <v>%2bf2c6640f26210058d8ded0f1050e1b</v>
      </c>
      <c r="H81" s="5" t="s">
        <v>261</v>
      </c>
      <c r="I81" s="5" t="str" cm="1">
        <f t="array" ref="I81">INDEX('Codigos Categorias'!$C:$C,MATCH(H$1&amp;H81,'Codigos Categorias'!$A:$A&amp;'Codigos Categorias'!$B:$B,0))</f>
        <v>%b8fffd4a0fbd0200b4d0b37ce1050efc</v>
      </c>
      <c r="K81" s="5" t="s">
        <v>260</v>
      </c>
      <c r="L81" s="5" t="s">
        <v>262</v>
      </c>
      <c r="M81" s="5" t="e" cm="1">
        <f t="array" ref="M81">INDEX('Data Points padrão'!$D:$D,MATCH(D81&amp;F81&amp;H81,'Data Points padrão'!$A:$A&amp;'Data Points padrão'!$B:$B&amp;'Data Points padrão'!$C:$C,0))</f>
        <v>#N/A</v>
      </c>
      <c r="N81" s="5" t="s">
        <v>85</v>
      </c>
    </row>
    <row r="82" spans="1:14" x14ac:dyDescent="0.3">
      <c r="A82" s="5">
        <v>10</v>
      </c>
      <c r="B82" s="5" t="s">
        <v>701</v>
      </c>
      <c r="D82" s="5" t="s">
        <v>59</v>
      </c>
      <c r="E82" s="5" t="str" cm="1">
        <f t="array" ref="E82">INDEX('Codigos Categorias'!$C:$C,MATCH(D$1&amp;D82,'Codigos Categorias'!$A:$A&amp;'Codigos Categorias'!$B:$B,0))</f>
        <v>%dff2c6640f26210058d8ded0f1050e12</v>
      </c>
      <c r="F82" s="5" t="s">
        <v>144</v>
      </c>
      <c r="G82" s="5" t="str" cm="1">
        <f t="array" ref="G82">INDEX('Codigos Categorias'!$C:$C,MATCH(F$1&amp;F82,'Codigos Categorias'!$A:$A&amp;'Codigos Categorias'!$B:$B,0))</f>
        <v>%ea30dfeddbf2801c22b9e7ba489619a2</v>
      </c>
      <c r="H82" s="5" t="s">
        <v>145</v>
      </c>
      <c r="I82" s="5" t="str" cm="1">
        <f t="array" ref="I82">INDEX('Codigos Categorias'!$C:$C,MATCH(H$1&amp;H82,'Codigos Categorias'!$A:$A&amp;'Codigos Categorias'!$B:$B,0))</f>
        <v>%42409721db36801c22b9e7ba489619b2</v>
      </c>
      <c r="K82" s="5" t="s">
        <v>702</v>
      </c>
      <c r="L82" s="5" t="s">
        <v>703</v>
      </c>
      <c r="M82" s="5" t="str" cm="1">
        <f t="array" ref="M82">INDEX('Data Points padrão'!$D:$D,MATCH(D82&amp;F82&amp;H82,'Data Points padrão'!$A:$A&amp;'Data Points padrão'!$B:$B&amp;'Data Points padrão'!$C:$C,0))</f>
        <v>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v>
      </c>
      <c r="N82" s="5" t="s">
        <v>49</v>
      </c>
    </row>
    <row r="83" spans="1:14" x14ac:dyDescent="0.3">
      <c r="A83" s="5">
        <v>2</v>
      </c>
      <c r="B83" s="5" t="s">
        <v>263</v>
      </c>
      <c r="D83" s="5" t="s">
        <v>59</v>
      </c>
      <c r="E83" s="5" t="str" cm="1">
        <f t="array" ref="E83">INDEX('Codigos Categorias'!$C:$C,MATCH(D$1&amp;D83,'Codigos Categorias'!$A:$A&amp;'Codigos Categorias'!$B:$B,0))</f>
        <v>%dff2c6640f26210058d8ded0f1050e12</v>
      </c>
      <c r="F83" s="5" t="s">
        <v>144</v>
      </c>
      <c r="G83" s="5" t="str" cm="1">
        <f t="array" ref="G83">INDEX('Codigos Categorias'!$C:$C,MATCH(F$1&amp;F83,'Codigos Categorias'!$A:$A&amp;'Codigos Categorias'!$B:$B,0))</f>
        <v>%ea30dfeddbf2801c22b9e7ba489619a2</v>
      </c>
      <c r="H83" s="5" t="s">
        <v>231</v>
      </c>
      <c r="I83" s="5" t="str" cm="1">
        <f t="array" ref="I83">INDEX('Codigos Categorias'!$C:$C,MATCH(H$1&amp;H83,'Codigos Categorias'!$A:$A&amp;'Codigos Categorias'!$B:$B,0))</f>
        <v>%36405b21db36801c22b9e7ba48961930</v>
      </c>
      <c r="K83" s="5" t="s">
        <v>263</v>
      </c>
      <c r="L83" s="5" t="s">
        <v>264</v>
      </c>
      <c r="M83" s="5" t="str" cm="1">
        <f t="array" ref="M83">INDEX('Data Points padrão'!$D:$D,MATCH(D83&amp;F83&amp;H83,'Data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83" s="5" t="s">
        <v>85</v>
      </c>
    </row>
    <row r="84" spans="1:14" x14ac:dyDescent="0.3">
      <c r="A84" s="5">
        <v>2</v>
      </c>
      <c r="B84" s="5" t="s">
        <v>265</v>
      </c>
      <c r="D84" s="5" t="s">
        <v>23</v>
      </c>
      <c r="E84" s="5" t="str" cm="1">
        <f t="array" ref="E84">INDEX('Codigos Categorias'!$C:$C,MATCH(D$1&amp;D84,'Codigos Categorias'!$A:$A&amp;'Codigos Categorias'!$B:$B,0))</f>
        <v>%aff2c6640f26210058d8ded0f1050e18</v>
      </c>
      <c r="F84" s="5" t="s">
        <v>24</v>
      </c>
      <c r="G84" s="5" t="str" cm="1">
        <f t="array" ref="G84">INDEX('Codigos Categorias'!$C:$C,MATCH(F$1&amp;F84,'Codigos Categorias'!$A:$A&amp;'Codigos Categorias'!$B:$B,0))</f>
        <v>%b1e171520ff1b204fc37ded0f1050eae</v>
      </c>
      <c r="H84" s="5" t="s">
        <v>87</v>
      </c>
      <c r="I84" s="5" t="str" cm="1">
        <f t="array" ref="I84">INDEX('Codigos Categorias'!$C:$C,MATCH(H$1&amp;H84,'Codigos Categorias'!$A:$A&amp;'Codigos Categorias'!$B:$B,0))</f>
        <v>%67ed23bddbda2fc01523e6ab0b96195d</v>
      </c>
      <c r="K84" s="5" t="s">
        <v>266</v>
      </c>
      <c r="L84" s="5" t="s">
        <v>267</v>
      </c>
      <c r="M84" s="5" t="str" cm="1">
        <f t="array" ref="M84">INDEX('Data Points padrão'!$D:$D,MATCH(D84&amp;F84&amp;H84,'Data Points padrão'!$A:$A&amp;'Data Points padrão'!$B:$B&amp;'Data Points padrão'!$C:$C,0))</f>
        <v>IMPORTANT: DO NOT DELETE ANY TEXT BELOW, JUST ADD RELEVANT ANSWERS!!!
Fill in ONLY if Issue is NOT SOLVED &amp; ticket needs to be dispatched (Otherwise skip): 
UCMS logfile attached, see KB0014119? (YES/NO): no</v>
      </c>
      <c r="N84" s="5" t="s">
        <v>85</v>
      </c>
    </row>
    <row r="85" spans="1:14" x14ac:dyDescent="0.3">
      <c r="A85" s="5">
        <v>9</v>
      </c>
      <c r="B85" s="5" t="s">
        <v>268</v>
      </c>
      <c r="D85" s="5" t="s">
        <v>80</v>
      </c>
      <c r="E85" s="5" t="str" cm="1">
        <f t="array" ref="E85">INDEX('Codigos Categorias'!$C:$C,MATCH(D$1&amp;D85,'Codigos Categorias'!$A:$A&amp;'Codigos Categorias'!$B:$B,0))</f>
        <v>%13f2c6640f26210058d8ded0f1050e16</v>
      </c>
      <c r="F85" s="5" t="s">
        <v>81</v>
      </c>
      <c r="G85" s="5" t="str" cm="1">
        <f t="array" ref="G85">INDEX('Codigos Categorias'!$C:$C,MATCH(F$1&amp;F85,'Codigos Categorias'!$A:$A&amp;'Codigos Categorias'!$B:$B,0))</f>
        <v>%93f2c6640f26210058d8ded0f1050e16</v>
      </c>
      <c r="H85" s="5" t="s">
        <v>82</v>
      </c>
      <c r="I85" s="5" t="str" cm="1">
        <f t="array" ref="I85">INDEX('Codigos Categorias'!$C:$C,MATCH(H$1&amp;H85,'Codigos Categorias'!$A:$A&amp;'Codigos Categorias'!$B:$B,0))</f>
        <v>%17f2c6640f26210058d8ded0f1050e16</v>
      </c>
      <c r="K85" s="5" t="s">
        <v>268</v>
      </c>
      <c r="L85" s="5" t="s">
        <v>269</v>
      </c>
      <c r="M85" s="5" t="str" cm="1">
        <f t="array" ref="M85">INDEX('Data Points padrão'!$D:$D,MATCH(D85&amp;F85&amp;H85,'Data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85" s="5" t="s">
        <v>85</v>
      </c>
    </row>
    <row r="86" spans="1:14" x14ac:dyDescent="0.3">
      <c r="A86" s="5">
        <v>1</v>
      </c>
      <c r="B86" s="5" t="s">
        <v>270</v>
      </c>
      <c r="D86" s="5" t="s">
        <v>80</v>
      </c>
      <c r="E86" s="5" t="str" cm="1">
        <f t="array" ref="E86">INDEX('Codigos Categorias'!$C:$C,MATCH(D$1&amp;D86,'Codigos Categorias'!$A:$A&amp;'Codigos Categorias'!$B:$B,0))</f>
        <v>%13f2c6640f26210058d8ded0f1050e16</v>
      </c>
      <c r="F86" s="5" t="s">
        <v>81</v>
      </c>
      <c r="G86" s="5" t="str" cm="1">
        <f t="array" ref="G86">INDEX('Codigos Categorias'!$C:$C,MATCH(F$1&amp;F86,'Codigos Categorias'!$A:$A&amp;'Codigos Categorias'!$B:$B,0))</f>
        <v>%93f2c6640f26210058d8ded0f1050e16</v>
      </c>
      <c r="H86" s="5" t="s">
        <v>82</v>
      </c>
      <c r="I86" s="5" t="str" cm="1">
        <f t="array" ref="I86">INDEX('Codigos Categorias'!$C:$C,MATCH(H$1&amp;H86,'Codigos Categorias'!$A:$A&amp;'Codigos Categorias'!$B:$B,0))</f>
        <v>%17f2c6640f26210058d8ded0f1050e16</v>
      </c>
      <c r="K86" s="5" t="s">
        <v>270</v>
      </c>
      <c r="L86" s="5" t="s">
        <v>271</v>
      </c>
      <c r="M86" s="5" t="str" cm="1">
        <f t="array" ref="M86">INDEX('Data Points padrão'!$D:$D,MATCH(D86&amp;F86&amp;H86,'Data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86" s="5" t="s">
        <v>85</v>
      </c>
    </row>
    <row r="87" spans="1:14" x14ac:dyDescent="0.3">
      <c r="A87" s="5">
        <v>15</v>
      </c>
      <c r="B87" s="5" t="s">
        <v>733</v>
      </c>
      <c r="D87" s="5" t="s">
        <v>59</v>
      </c>
      <c r="E87" s="5" t="str" cm="1">
        <f t="array" ref="E87">INDEX('Codigos Categorias'!$C:$C,MATCH(D$1&amp;D87,'Codigos Categorias'!$A:$A&amp;'Codigos Categorias'!$B:$B,0))</f>
        <v>%dff2c6640f26210058d8ded0f1050e12</v>
      </c>
      <c r="F87" s="5" t="s">
        <v>144</v>
      </c>
      <c r="G87" s="5" t="str" cm="1">
        <f t="array" ref="G87">INDEX('Codigos Categorias'!$C:$C,MATCH(F$1&amp;F87,'Codigos Categorias'!$A:$A&amp;'Codigos Categorias'!$B:$B,0))</f>
        <v>%ea30dfeddbf2801c22b9e7ba489619a2</v>
      </c>
      <c r="H87" s="5" t="s">
        <v>145</v>
      </c>
      <c r="I87" s="5" t="str" cm="1">
        <f t="array" ref="I87">INDEX('Codigos Categorias'!$C:$C,MATCH(H$1&amp;H87,'Codigos Categorias'!$A:$A&amp;'Codigos Categorias'!$B:$B,0))</f>
        <v>%42409721db36801c22b9e7ba489619b2</v>
      </c>
      <c r="K87" s="5" t="s">
        <v>733</v>
      </c>
      <c r="L87" s="5" t="s">
        <v>734</v>
      </c>
      <c r="M87" s="5" t="str" cm="1">
        <f t="array" ref="M87">INDEX('Data Points padrão'!$D:$D,MATCH(D87&amp;F87&amp;H87,'Data Points padrão'!$A:$A&amp;'Data Points padrão'!$B:$B&amp;'Data Points padrão'!$C:$C,0))</f>
        <v>IMPORTANT: DO NOT DELETE ANY TEXT BELOW, JUST ADD RELEVANT ANSWERS !!!
Is the mobile device mMobile enabled? (YES/NO): no
MFA authentication method used (e.g. MS Authenticator, SmartOTP -  see KB0024494)?:
Mobile device model (e.g. Apple iPhone 13, Samsung Galaxy):
OS Version (e.g. Android 12, iOS 15 - see KB0015523):
Mail app (e.g. Outlook) used?:</v>
      </c>
      <c r="N87" s="5" t="s">
        <v>85</v>
      </c>
    </row>
    <row r="88" spans="1:14" x14ac:dyDescent="0.3">
      <c r="A88" s="5">
        <v>3</v>
      </c>
      <c r="B88" s="5" t="s">
        <v>544</v>
      </c>
      <c r="D88" s="5" t="s">
        <v>59</v>
      </c>
      <c r="E88" s="5" t="str" cm="1">
        <f t="array" ref="E88">INDEX('Codigos Categorias'!$C:$C,MATCH(D$1&amp;D88,'Codigos Categorias'!$A:$A&amp;'Codigos Categorias'!$B:$B,0))</f>
        <v>%dff2c6640f26210058d8ded0f1050e12</v>
      </c>
      <c r="F88" s="5" t="s">
        <v>144</v>
      </c>
      <c r="G88" s="5" t="str" cm="1">
        <f t="array" ref="G88">INDEX('Codigos Categorias'!$C:$C,MATCH(F$1&amp;F88,'Codigos Categorias'!$A:$A&amp;'Codigos Categorias'!$B:$B,0))</f>
        <v>%ea30dfeddbf2801c22b9e7ba489619a2</v>
      </c>
      <c r="H88" s="5" t="s">
        <v>231</v>
      </c>
      <c r="I88" s="5" t="str" cm="1">
        <f t="array" ref="I88">INDEX('Codigos Categorias'!$C:$C,MATCH(H$1&amp;H88,'Codigos Categorias'!$A:$A&amp;'Codigos Categorias'!$B:$B,0))</f>
        <v>%36405b21db36801c22b9e7ba48961930</v>
      </c>
      <c r="K88" s="5" t="s">
        <v>545</v>
      </c>
      <c r="L88" s="5" t="s">
        <v>546</v>
      </c>
      <c r="M88" s="5" t="str" cm="1">
        <f t="array" ref="M88">INDEX('Data Points padrão'!$D:$D,MATCH(D88&amp;F88&amp;H88,'Data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88" s="5" t="s">
        <v>49</v>
      </c>
    </row>
    <row r="89" spans="1:14" x14ac:dyDescent="0.3">
      <c r="A89" s="5">
        <v>13</v>
      </c>
      <c r="B89" s="5" t="s">
        <v>698</v>
      </c>
      <c r="D89" s="5" t="s">
        <v>80</v>
      </c>
      <c r="E89" s="5" t="str" cm="1">
        <f t="array" ref="E89">INDEX('Codigos Categorias'!$C:$C,MATCH(D$1&amp;D89,'Codigos Categorias'!$A:$A&amp;'Codigos Categorias'!$B:$B,0))</f>
        <v>%13f2c6640f26210058d8ded0f1050e16</v>
      </c>
      <c r="F89" s="5" t="s">
        <v>93</v>
      </c>
      <c r="G89" s="5" t="str" cm="1">
        <f t="array" ref="G89">INDEX('Codigos Categorias'!$C:$C,MATCH(F$1&amp;F89,'Codigos Categorias'!$A:$A&amp;'Codigos Categorias'!$B:$B,0))</f>
        <v>%23f2c6640f26210058d8ded0f1050e17</v>
      </c>
      <c r="H89" s="5" t="s">
        <v>94</v>
      </c>
      <c r="I89" s="5" t="str" cm="1">
        <f t="array" ref="I89">INDEX('Codigos Categorias'!$C:$C,MATCH(H$1&amp;H89,'Codigos Categorias'!$A:$A&amp;'Codigos Categorias'!$B:$B,0))</f>
        <v>%0e2caaff0f42f1002294c1cce1050ed7</v>
      </c>
      <c r="K89" s="5" t="s">
        <v>994</v>
      </c>
      <c r="L89" s="5" t="s">
        <v>697</v>
      </c>
      <c r="M89" s="5" t="e" cm="1">
        <f t="array" ref="M89">INDEX('Data Points padrão'!$D:$D,MATCH(D89&amp;F89&amp;H89,'Data Points padrão'!$A:$A&amp;'Data Points padrão'!$B:$B&amp;'Data Points padrão'!$C:$C,0))</f>
        <v>#N/A</v>
      </c>
      <c r="N89" s="5" t="s">
        <v>49</v>
      </c>
    </row>
    <row r="90" spans="1:14" x14ac:dyDescent="0.3">
      <c r="A90" s="5">
        <v>1</v>
      </c>
      <c r="B90" s="5" t="s">
        <v>553</v>
      </c>
      <c r="D90" s="5" t="s">
        <v>59</v>
      </c>
      <c r="E90" s="5" t="str" cm="1">
        <f t="array" ref="E90">INDEX('Codigos Categorias'!$C:$C,MATCH(D$1&amp;D90,'Codigos Categorias'!$A:$A&amp;'Codigos Categorias'!$B:$B,0))</f>
        <v>%dff2c6640f26210058d8ded0f1050e12</v>
      </c>
      <c r="F90" s="5" t="s">
        <v>144</v>
      </c>
      <c r="G90" s="5" t="str" cm="1">
        <f t="array" ref="G90">INDEX('Codigos Categorias'!$C:$C,MATCH(F$1&amp;F90,'Codigos Categorias'!$A:$A&amp;'Codigos Categorias'!$B:$B,0))</f>
        <v>%ea30dfeddbf2801c22b9e7ba489619a2</v>
      </c>
      <c r="H90" s="5" t="s">
        <v>231</v>
      </c>
      <c r="I90" s="5" t="str" cm="1">
        <f t="array" ref="I90">INDEX('Codigos Categorias'!$C:$C,MATCH(H$1&amp;H90,'Codigos Categorias'!$A:$A&amp;'Codigos Categorias'!$B:$B,0))</f>
        <v>%36405b21db36801c22b9e7ba48961930</v>
      </c>
      <c r="K90" s="5" t="s">
        <v>553</v>
      </c>
      <c r="L90" s="5" t="s">
        <v>554</v>
      </c>
      <c r="M90" s="5" t="str" cm="1">
        <f t="array" ref="M90">INDEX('Data Points padrão'!$D:$D,MATCH(D90&amp;F90&amp;H90,'Data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90" s="5" t="s">
        <v>85</v>
      </c>
    </row>
    <row r="91" spans="1:14" x14ac:dyDescent="0.3">
      <c r="A91" s="5">
        <v>3</v>
      </c>
      <c r="B91" s="5" t="s">
        <v>560</v>
      </c>
      <c r="D91" s="5" t="s">
        <v>23</v>
      </c>
      <c r="E91" s="5" t="str" cm="1">
        <f t="array" ref="E91">INDEX('Codigos Categorias'!$C:$C,MATCH(D$1&amp;D91,'Codigos Categorias'!$A:$A&amp;'Codigos Categorias'!$B:$B,0))</f>
        <v>%aff2c6640f26210058d8ded0f1050e18</v>
      </c>
      <c r="F91" s="5" t="s">
        <v>24</v>
      </c>
      <c r="G91" s="5" t="str" cm="1">
        <f t="array" ref="G91">INDEX('Codigos Categorias'!$C:$C,MATCH(F$1&amp;F91,'Codigos Categorias'!$A:$A&amp;'Codigos Categorias'!$B:$B,0))</f>
        <v>%b1e171520ff1b204fc37ded0f1050eae</v>
      </c>
      <c r="H91" s="5" t="s">
        <v>87</v>
      </c>
      <c r="I91" s="5" t="str" cm="1">
        <f t="array" ref="I91">INDEX('Codigos Categorias'!$C:$C,MATCH(H$1&amp;H91,'Codigos Categorias'!$A:$A&amp;'Codigos Categorias'!$B:$B,0))</f>
        <v>%67ed23bddbda2fc01523e6ab0b96195d</v>
      </c>
      <c r="K91" s="5" t="s">
        <v>561</v>
      </c>
      <c r="L91" s="5" t="s">
        <v>562</v>
      </c>
      <c r="M91" s="5" t="str" cm="1">
        <f t="array" ref="M91">INDEX('Data Points padrão'!$D:$D,MATCH(D91&amp;F91&amp;H91,'Data Points padrão'!$A:$A&amp;'Data Points padrão'!$B:$B&amp;'Data Points padrão'!$C:$C,0))</f>
        <v>IMPORTANT: DO NOT DELETE ANY TEXT BELOW, JUST ADD RELEVANT ANSWERS!!!
Fill in ONLY if Issue is NOT SOLVED &amp; ticket needs to be dispatched (Otherwise skip): 
UCMS logfile attached, see KB0014119? (YES/NO): no</v>
      </c>
      <c r="N91" s="5" t="s">
        <v>85</v>
      </c>
    </row>
    <row r="92" spans="1:14" x14ac:dyDescent="0.3">
      <c r="A92" s="5">
        <v>1</v>
      </c>
      <c r="B92" s="5" t="s">
        <v>565</v>
      </c>
      <c r="D92" s="5" t="s">
        <v>23</v>
      </c>
      <c r="E92" s="5" t="str" cm="1">
        <f t="array" ref="E92">INDEX('Codigos Categorias'!$C:$C,MATCH(D$1&amp;D92,'Codigos Categorias'!$A:$A&amp;'Codigos Categorias'!$B:$B,0))</f>
        <v>%aff2c6640f26210058d8ded0f1050e18</v>
      </c>
      <c r="F92" s="5" t="s">
        <v>24</v>
      </c>
      <c r="G92" s="5" t="str" cm="1">
        <f t="array" ref="G92">INDEX('Codigos Categorias'!$C:$C,MATCH(F$1&amp;F92,'Codigos Categorias'!$A:$A&amp;'Codigos Categorias'!$B:$B,0))</f>
        <v>%b1e171520ff1b204fc37ded0f1050eae</v>
      </c>
      <c r="H92" s="5" t="s">
        <v>51</v>
      </c>
      <c r="I92" s="5" t="str" cm="1">
        <f t="array" ref="I92">INDEX('Codigos Categorias'!$C:$C,MATCH(H$1&amp;H92,'Codigos Categorias'!$A:$A&amp;'Codigos Categorias'!$B:$B,0))</f>
        <v>%8f8e62cb0ffe3a00cd6eded0f1050e6b</v>
      </c>
      <c r="K92" s="5" t="s">
        <v>565</v>
      </c>
      <c r="L92" s="5" t="s">
        <v>566</v>
      </c>
      <c r="M92" s="5" t="e" cm="1">
        <f t="array" ref="M92">INDEX('Data Points padrão'!$D:$D,MATCH(D92&amp;F92&amp;H92,'Data Points padrão'!$A:$A&amp;'Data Points padrão'!$B:$B&amp;'Data Points padrão'!$C:$C,0))</f>
        <v>#N/A</v>
      </c>
      <c r="N92" s="5" t="s">
        <v>85</v>
      </c>
    </row>
    <row r="93" spans="1:14" x14ac:dyDescent="0.3">
      <c r="A93" s="5">
        <v>1</v>
      </c>
      <c r="B93" s="5" t="s">
        <v>567</v>
      </c>
      <c r="D93" s="5" t="s">
        <v>23</v>
      </c>
      <c r="E93" s="5" t="str" cm="1">
        <f t="array" ref="E93">INDEX('Codigos Categorias'!$C:$C,MATCH(D$1&amp;D93,'Codigos Categorias'!$A:$A&amp;'Codigos Categorias'!$B:$B,0))</f>
        <v>%aff2c6640f26210058d8ded0f1050e18</v>
      </c>
      <c r="F93" s="5" t="s">
        <v>31</v>
      </c>
      <c r="G93" s="5" t="str" cm="1">
        <f t="array" ref="G93">INDEX('Codigos Categorias'!$C:$C,MATCH(F$1&amp;F93,'Codigos Categorias'!$A:$A&amp;'Codigos Categorias'!$B:$B,0))</f>
        <v>%2bf2c6640f26210058d8ded0f1050e1b</v>
      </c>
      <c r="H93" s="5" t="s">
        <v>261</v>
      </c>
      <c r="I93" s="5" t="str" cm="1">
        <f t="array" ref="I93">INDEX('Codigos Categorias'!$C:$C,MATCH(H$1&amp;H93,'Codigos Categorias'!$A:$A&amp;'Codigos Categorias'!$B:$B,0))</f>
        <v>%b8fffd4a0fbd0200b4d0b37ce1050efc</v>
      </c>
      <c r="K93" s="5" t="s">
        <v>568</v>
      </c>
      <c r="L93" s="5" t="s">
        <v>569</v>
      </c>
      <c r="M93" s="5" t="e" cm="1">
        <f t="array" ref="M93">INDEX('Data Points padrão'!$D:$D,MATCH(D93&amp;F93&amp;H93,'Data Points padrão'!$A:$A&amp;'Data Points padrão'!$B:$B&amp;'Data Points padrão'!$C:$C,0))</f>
        <v>#N/A</v>
      </c>
      <c r="N93" s="5" t="s">
        <v>85</v>
      </c>
    </row>
    <row r="94" spans="1:14" x14ac:dyDescent="0.3">
      <c r="A94" s="5">
        <v>4</v>
      </c>
      <c r="B94" s="5" t="s">
        <v>570</v>
      </c>
      <c r="D94" s="5" t="s">
        <v>59</v>
      </c>
      <c r="E94" s="5" t="str" cm="1">
        <f t="array" ref="E94">INDEX('Codigos Categorias'!$C:$C,MATCH(D$1&amp;D94,'Codigos Categorias'!$A:$A&amp;'Codigos Categorias'!$B:$B,0))</f>
        <v>%dff2c6640f26210058d8ded0f1050e12</v>
      </c>
      <c r="F94" s="5" t="s">
        <v>144</v>
      </c>
      <c r="G94" s="5" t="str" cm="1">
        <f t="array" ref="G94">INDEX('Codigos Categorias'!$C:$C,MATCH(F$1&amp;F94,'Codigos Categorias'!$A:$A&amp;'Codigos Categorias'!$B:$B,0))</f>
        <v>%ea30dfeddbf2801c22b9e7ba489619a2</v>
      </c>
      <c r="H94" s="5" t="s">
        <v>574</v>
      </c>
      <c r="I94" s="5" t="str" cm="1">
        <f t="array" ref="I94">INDEX('Codigos Categorias'!$C:$C,MATCH(H$1&amp;H94,'Codigos Categorias'!$A:$A&amp;'Codigos Categorias'!$B:$B,0))</f>
        <v>%09509f21db36801c22b9e7ba489619a0</v>
      </c>
      <c r="K94" s="5" t="s">
        <v>571</v>
      </c>
      <c r="L94" s="5" t="s">
        <v>572</v>
      </c>
      <c r="M94" s="5" t="str" cm="1">
        <f t="array" ref="M94">INDEX('Data Points padrão'!$D:$D,MATCH(D94&amp;F94&amp;H94,'Data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94" s="5" t="s">
        <v>49</v>
      </c>
    </row>
    <row r="95" spans="1:14" x14ac:dyDescent="0.3">
      <c r="A95" s="5">
        <v>5</v>
      </c>
      <c r="B95" s="5" t="s">
        <v>577</v>
      </c>
      <c r="D95" s="5" t="s">
        <v>44</v>
      </c>
      <c r="E95" s="5" t="str" cm="1">
        <f t="array" ref="E95">INDEX('Codigos Categorias'!$C:$C,MATCH(D$1&amp;D95,'Codigos Categorias'!$A:$A&amp;'Codigos Categorias'!$B:$B,0))</f>
        <v>%e7f2c6640f26210058d8ded0f1050e18</v>
      </c>
      <c r="F95" s="5" t="s">
        <v>579</v>
      </c>
      <c r="G95" s="5" t="str" cm="1">
        <f t="array" ref="G95">INDEX('Codigos Categorias'!$C:$C,MATCH(F$1&amp;F95,'Codigos Categorias'!$A:$A&amp;'Codigos Categorias'!$B:$B,0))</f>
        <v>%58a36455db963b0c0abc5b06ca9619c2</v>
      </c>
      <c r="H95" s="5" t="s">
        <v>581</v>
      </c>
      <c r="I95" s="5" t="str" cm="1">
        <f t="array" ref="I95">INDEX('Codigos Categorias'!$C:$C,MATCH(H$1&amp;H95,'Codigos Categorias'!$A:$A&amp;'Codigos Categorias'!$B:$B,0))</f>
        <v>%305728d1db1a3b0c0abc5b06ca961907</v>
      </c>
      <c r="K95" s="5" t="s">
        <v>577</v>
      </c>
      <c r="L95" s="5" t="s">
        <v>582</v>
      </c>
      <c r="M95" s="5" t="str" cm="1">
        <f t="array" ref="M95">INDEX('Data Points padrão'!$D:$D,MATCH(D95&amp;F95&amp;H95,'Data Points padrão'!$A:$A&amp;'Data Points padrão'!$B:$B&amp;'Data Points padrão'!$C:$C,0))</f>
        <v>IMPORTANT: DO NOT DELETE ANY TEXT BELOW, JUST ADD RELEVANT ANSWERS!!!
I - Fill in ONLY if issue is SOLVED directly &amp; no dispatch of the ticket is needed (otherwise go to point II):
Confirm with "YES" that:
- followed Knowledge Article is ATTACHED to the ticket: 
- User confirmed issue is solved: yes
**********************************************************************
II - Fill in ONLY if issue is NOT SOLVED &amp; ticket needs to be dispatched (otherwise skip):
BASIC DATA FOR ANY PINGID/ OTP SMS AUTHENTICATION related issues:
- Error message:
CONFIRM WITH "YES":
- PingID/ OTP SMS already activated:
- Relevant Knowledge Article is ATTACHED to the ticket:</v>
      </c>
      <c r="N95" s="5" t="s">
        <v>49</v>
      </c>
    </row>
    <row r="96" spans="1:14" x14ac:dyDescent="0.3">
      <c r="A96" s="5">
        <v>4</v>
      </c>
      <c r="B96" s="5" t="s">
        <v>699</v>
      </c>
      <c r="D96" s="5" t="s">
        <v>23</v>
      </c>
      <c r="E96" s="5" t="str" cm="1">
        <f t="array" ref="E96">INDEX('Codigos Categorias'!$C:$C,MATCH(D$1&amp;D96,'Codigos Categorias'!$A:$A&amp;'Codigos Categorias'!$B:$B,0))</f>
        <v>%aff2c6640f26210058d8ded0f1050e18</v>
      </c>
      <c r="F96" s="5" t="s">
        <v>24</v>
      </c>
      <c r="G96" s="5" t="str" cm="1">
        <f t="array" ref="G96">INDEX('Codigos Categorias'!$C:$C,MATCH(F$1&amp;F96,'Codigos Categorias'!$A:$A&amp;'Codigos Categorias'!$B:$B,0))</f>
        <v>%b1e171520ff1b204fc37ded0f1050eae</v>
      </c>
      <c r="H96" s="5" t="s">
        <v>87</v>
      </c>
      <c r="I96" s="5" t="str" cm="1">
        <f t="array" ref="I96">INDEX('Codigos Categorias'!$C:$C,MATCH(H$1&amp;H96,'Codigos Categorias'!$A:$A&amp;'Codigos Categorias'!$B:$B,0))</f>
        <v>%67ed23bddbda2fc01523e6ab0b96195d</v>
      </c>
      <c r="K96" s="5" t="s">
        <v>699</v>
      </c>
      <c r="L96" s="5" t="s">
        <v>586</v>
      </c>
      <c r="M96" s="5" t="str" cm="1">
        <f t="array" ref="M96">INDEX('Data Points padrão'!$D:$D,MATCH(D96&amp;F96&amp;H96,'Data Points padrão'!$A:$A&amp;'Data Points padrão'!$B:$B&amp;'Data Points padrão'!$C:$C,0))</f>
        <v>IMPORTANT: DO NOT DELETE ANY TEXT BELOW, JUST ADD RELEVANT ANSWERS!!!
Fill in ONLY if Issue is NOT SOLVED &amp; ticket needs to be dispatched (Otherwise skip): 
UCMS logfile attached, see KB0014119? (YES/NO): no</v>
      </c>
      <c r="N96" s="5" t="s">
        <v>85</v>
      </c>
    </row>
    <row r="97" spans="1:14" x14ac:dyDescent="0.3">
      <c r="A97" s="5">
        <v>1</v>
      </c>
      <c r="B97" s="5" t="s">
        <v>591</v>
      </c>
      <c r="D97" s="5" t="s">
        <v>15</v>
      </c>
      <c r="E97" s="5" t="str" cm="1">
        <f t="array" ref="E97">INDEX('Codigos Categorias'!$C:$C,MATCH(D$1&amp;D97,'Codigos Categorias'!$A:$A&amp;'Codigos Categorias'!$B:$B,0))</f>
        <v>%93f2c6640f26210058d8ded0f1050e12</v>
      </c>
      <c r="F97" s="5" t="s">
        <v>16</v>
      </c>
      <c r="G97" s="5" t="str" cm="1">
        <f t="array" ref="G97">INDEX('Codigos Categorias'!$C:$C,MATCH(F$1&amp;F97,'Codigos Categorias'!$A:$A&amp;'Codigos Categorias'!$B:$B,0))</f>
        <v>%a3f2c6640f26210058d8ded0f1050e1b</v>
      </c>
      <c r="H97" s="5" t="s">
        <v>194</v>
      </c>
      <c r="I97" s="5" t="str" cm="1">
        <f t="array" ref="I97">INDEX('Codigos Categorias'!$C:$C,MATCH(H$1&amp;H97,'Codigos Categorias'!$A:$A&amp;'Codigos Categorias'!$B:$B,0))</f>
        <v>%1c42c4f60fc0c600bad9ded0f1050e39</v>
      </c>
      <c r="K97" s="5" t="s">
        <v>591</v>
      </c>
      <c r="L97" s="5" t="s">
        <v>592</v>
      </c>
      <c r="M97" s="5" t="e" cm="1">
        <f t="array" ref="M97">INDEX('Data Points padrão'!$D:$D,MATCH(D97&amp;F97&amp;H97,'Data Points padrão'!$A:$A&amp;'Data Points padrão'!$B:$B&amp;'Data Points padrão'!$C:$C,0))</f>
        <v>#N/A</v>
      </c>
      <c r="N97" s="5" t="s">
        <v>85</v>
      </c>
    </row>
    <row r="98" spans="1:14" x14ac:dyDescent="0.3">
      <c r="A98" s="5">
        <v>2</v>
      </c>
      <c r="B98" s="5" t="s">
        <v>597</v>
      </c>
      <c r="D98" s="5" t="s">
        <v>23</v>
      </c>
      <c r="E98" s="5" t="str" cm="1">
        <f t="array" ref="E98">INDEX('Codigos Categorias'!$C:$C,MATCH(D$1&amp;D98,'Codigos Categorias'!$A:$A&amp;'Codigos Categorias'!$B:$B,0))</f>
        <v>%aff2c6640f26210058d8ded0f1050e18</v>
      </c>
      <c r="F98" s="5" t="s">
        <v>24</v>
      </c>
      <c r="G98" s="5" t="str" cm="1">
        <f t="array" ref="G98">INDEX('Codigos Categorias'!$C:$C,MATCH(F$1&amp;F98,'Codigos Categorias'!$A:$A&amp;'Codigos Categorias'!$B:$B,0))</f>
        <v>%b1e171520ff1b204fc37ded0f1050eae</v>
      </c>
      <c r="H98" s="5" t="s">
        <v>87</v>
      </c>
      <c r="I98" s="5" t="str" cm="1">
        <f t="array" ref="I98">INDEX('Codigos Categorias'!$C:$C,MATCH(H$1&amp;H98,'Codigos Categorias'!$A:$A&amp;'Codigos Categorias'!$B:$B,0))</f>
        <v>%67ed23bddbda2fc01523e6ab0b96195d</v>
      </c>
      <c r="K98" s="5" t="s">
        <v>597</v>
      </c>
      <c r="L98" s="5" t="s">
        <v>598</v>
      </c>
      <c r="M98" s="5" t="str" cm="1">
        <f t="array" ref="M98">INDEX('Data Points padrão'!$D:$D,MATCH(D98&amp;F98&amp;H98,'Data Points padrão'!$A:$A&amp;'Data Points padrão'!$B:$B&amp;'Data Points padrão'!$C:$C,0))</f>
        <v>IMPORTANT: DO NOT DELETE ANY TEXT BELOW, JUST ADD RELEVANT ANSWERS!!!
Fill in ONLY if Issue is NOT SOLVED &amp; ticket needs to be dispatched (Otherwise skip): 
UCMS logfile attached, see KB0014119? (YES/NO): no</v>
      </c>
      <c r="N98" s="5" t="s">
        <v>85</v>
      </c>
    </row>
    <row r="99" spans="1:14" x14ac:dyDescent="0.3">
      <c r="A99" s="5">
        <v>1</v>
      </c>
      <c r="B99" s="5" t="s">
        <v>608</v>
      </c>
      <c r="D99" s="5" t="s">
        <v>147</v>
      </c>
      <c r="E99" s="5" t="str" cm="1">
        <f t="array" ref="E99">INDEX('Codigos Categorias'!$C:$C,MATCH(D$1&amp;D99,'Codigos Categorias'!$A:$A&amp;'Codigos Categorias'!$B:$B,0))</f>
        <v>%118181180f1871006bdcb47ce1050e07</v>
      </c>
      <c r="F99" s="5" t="s">
        <v>148</v>
      </c>
      <c r="G99" s="5" t="str" cm="1">
        <f t="array" ref="G99">INDEX('Codigos Categorias'!$C:$C,MATCH(F$1&amp;F99,'Codigos Categorias'!$A:$A&amp;'Codigos Categorias'!$B:$B,0))</f>
        <v>%28e105180f1871006bdcb47ce1050ea0</v>
      </c>
      <c r="H99" s="5" t="s">
        <v>610</v>
      </c>
      <c r="I99" s="5" t="str" cm="1">
        <f t="array" ref="I99">INDEX('Codigos Categorias'!$C:$C,MATCH(H$1&amp;H99,'Codigos Categorias'!$A:$A&amp;'Codigos Categorias'!$B:$B,0))</f>
        <v>%b191f88c0f521e0097fcb47ce1050e65</v>
      </c>
      <c r="K99" s="5" t="s">
        <v>608</v>
      </c>
      <c r="L99" s="5" t="s">
        <v>611</v>
      </c>
      <c r="M99" s="5" t="e" cm="1">
        <f t="array" ref="M99">INDEX('Data Points padrão'!$D:$D,MATCH(D99&amp;F99&amp;H99,'Data Points padrão'!$A:$A&amp;'Data Points padrão'!$B:$B&amp;'Data Points padrão'!$C:$C,0))</f>
        <v>#N/A</v>
      </c>
      <c r="N99" s="5" t="s">
        <v>85</v>
      </c>
    </row>
    <row r="100" spans="1:14" x14ac:dyDescent="0.3">
      <c r="A100" s="5">
        <v>21</v>
      </c>
      <c r="B100" s="5" t="s">
        <v>614</v>
      </c>
      <c r="D100" s="5" t="s">
        <v>23</v>
      </c>
      <c r="E100" s="5" t="str" cm="1">
        <f t="array" ref="E100">INDEX('Codigos Categorias'!$C:$C,MATCH(D$1&amp;D100,'Codigos Categorias'!$A:$A&amp;'Codigos Categorias'!$B:$B,0))</f>
        <v>%aff2c6640f26210058d8ded0f1050e18</v>
      </c>
      <c r="F100" s="5" t="s">
        <v>24</v>
      </c>
      <c r="G100" s="5" t="str" cm="1">
        <f t="array" ref="G100">INDEX('Codigos Categorias'!$C:$C,MATCH(F$1&amp;F100,'Codigos Categorias'!$A:$A&amp;'Codigos Categorias'!$B:$B,0))</f>
        <v>%b1e171520ff1b204fc37ded0f1050eae</v>
      </c>
      <c r="H100" s="5" t="s">
        <v>87</v>
      </c>
      <c r="I100" s="5" t="str" cm="1">
        <f t="array" ref="I100">INDEX('Codigos Categorias'!$C:$C,MATCH(H$1&amp;H100,'Codigos Categorias'!$A:$A&amp;'Codigos Categorias'!$B:$B,0))</f>
        <v>%67ed23bddbda2fc01523e6ab0b96195d</v>
      </c>
      <c r="K100" s="5" t="s">
        <v>614</v>
      </c>
      <c r="L100" s="5" t="s">
        <v>830</v>
      </c>
      <c r="M100" s="5" t="str" cm="1">
        <f t="array" ref="M100">INDEX('Data Points padrão'!$D:$D,MATCH(D100&amp;F100&amp;H100,'Data Points padrão'!$A:$A&amp;'Data Points padrão'!$B:$B&amp;'Data Points padrão'!$C:$C,0))</f>
        <v>IMPORTANT: DO NOT DELETE ANY TEXT BELOW, JUST ADD RELEVANT ANSWERS!!!
Fill in ONLY if Issue is NOT SOLVED &amp; ticket needs to be dispatched (Otherwise skip): 
UCMS logfile attached, see KB0014119? (YES/NO): no</v>
      </c>
      <c r="N100" s="5" t="s">
        <v>85</v>
      </c>
    </row>
    <row r="101" spans="1:14" x14ac:dyDescent="0.3">
      <c r="A101" s="5">
        <v>1</v>
      </c>
      <c r="B101" s="5" t="s">
        <v>630</v>
      </c>
      <c r="D101" s="5" t="s">
        <v>59</v>
      </c>
      <c r="E101" s="5" t="str" cm="1">
        <f t="array" ref="E101">INDEX('Codigos Categorias'!$C:$C,MATCH(D$1&amp;D101,'Codigos Categorias'!$A:$A&amp;'Codigos Categorias'!$B:$B,0))</f>
        <v>%dff2c6640f26210058d8ded0f1050e12</v>
      </c>
      <c r="F101" s="5" t="s">
        <v>627</v>
      </c>
      <c r="G101" s="5" t="str" cm="1">
        <f t="array" ref="G101">INDEX('Codigos Categorias'!$C:$C,MATCH(F$1&amp;F101,'Codigos Categorias'!$A:$A&amp;'Codigos Categorias'!$B:$B,0))</f>
        <v>%1ff2c6640f26210058d8ded0f1050e14</v>
      </c>
      <c r="H101" s="5" t="s">
        <v>628</v>
      </c>
      <c r="I101" s="5" t="str" cm="1">
        <f t="array" ref="I101">INDEX('Codigos Categorias'!$C:$C,MATCH(H$1&amp;H101,'Codigos Categorias'!$A:$A&amp;'Codigos Categorias'!$B:$B,0))</f>
        <v>%5ff2c6640f26210058d8ded0f1050e14</v>
      </c>
      <c r="K101" s="5" t="s">
        <v>630</v>
      </c>
      <c r="L101" s="5" t="s">
        <v>631</v>
      </c>
      <c r="M101" s="5" t="e" cm="1">
        <f t="array" ref="M101">INDEX('Data Points padrão'!$D:$D,MATCH(D101&amp;F101&amp;H101,'Data Points padrão'!$A:$A&amp;'Data Points padrão'!$B:$B&amp;'Data Points padrão'!$C:$C,0))</f>
        <v>#N/A</v>
      </c>
      <c r="N101" s="5" t="s">
        <v>85</v>
      </c>
    </row>
    <row r="102" spans="1:14" x14ac:dyDescent="0.3">
      <c r="A102" s="5">
        <v>1</v>
      </c>
      <c r="B102" s="5" t="s">
        <v>639</v>
      </c>
      <c r="D102" s="5" t="s">
        <v>59</v>
      </c>
      <c r="E102" s="5" t="str" cm="1">
        <f t="array" ref="E102">INDEX('Codigos Categorias'!$C:$C,MATCH(D$1&amp;D102,'Codigos Categorias'!$A:$A&amp;'Codigos Categorias'!$B:$B,0))</f>
        <v>%dff2c6640f26210058d8ded0f1050e12</v>
      </c>
      <c r="F102" s="5" t="s">
        <v>144</v>
      </c>
      <c r="G102" s="5" t="str" cm="1">
        <f t="array" ref="G102">INDEX('Codigos Categorias'!$C:$C,MATCH(F$1&amp;F102,'Codigos Categorias'!$A:$A&amp;'Codigos Categorias'!$B:$B,0))</f>
        <v>%ea30dfeddbf2801c22b9e7ba489619a2</v>
      </c>
      <c r="H102" s="5" t="s">
        <v>641</v>
      </c>
      <c r="I102" s="5" t="str" cm="1">
        <f t="array" ref="I102">INDEX('Codigos Categorias'!$C:$C,MATCH(H$1&amp;H102,'Codigos Categorias'!$A:$A&amp;'Codigos Categorias'!$B:$B,0))</f>
        <v>%07409b21db36801c22b9e7ba48961922</v>
      </c>
      <c r="K102" s="5" t="s">
        <v>639</v>
      </c>
      <c r="L102" s="5" t="s">
        <v>642</v>
      </c>
      <c r="M102" s="5" t="e" cm="1">
        <f t="array" ref="M102">INDEX('Data Points padrão'!$D:$D,MATCH(D102&amp;F102&amp;H102,'Data Points padrão'!$A:$A&amp;'Data Points padrão'!$B:$B&amp;'Data Points padrão'!$C:$C,0))</f>
        <v>#N/A</v>
      </c>
      <c r="N102" s="5" t="s">
        <v>49</v>
      </c>
    </row>
    <row r="103" spans="1:14" x14ac:dyDescent="0.3">
      <c r="A103" s="8">
        <v>10</v>
      </c>
      <c r="B103" s="5" t="s">
        <v>728</v>
      </c>
      <c r="D103" s="5" t="s">
        <v>59</v>
      </c>
      <c r="E103" s="5" t="str" cm="1">
        <f t="array" ref="E103">INDEX('Codigos Categorias'!$C:$C,MATCH(D$1&amp;D103,'Codigos Categorias'!$A:$A&amp;'Codigos Categorias'!$B:$B,0))</f>
        <v>%dff2c6640f26210058d8ded0f1050e12</v>
      </c>
      <c r="F103" s="5" t="s">
        <v>60</v>
      </c>
      <c r="G103" s="5" t="str" cm="1">
        <f t="array" ref="G103">INDEX('Codigos Categorias'!$C:$C,MATCH(F$1&amp;F103,'Codigos Categorias'!$A:$A&amp;'Codigos Categorias'!$B:$B,0))</f>
        <v>%df130275db2f6f001523e6ab0b961944</v>
      </c>
      <c r="H103" s="5" t="s">
        <v>236</v>
      </c>
      <c r="I103" s="5" t="str" cm="1">
        <f t="array" ref="I103">INDEX('Codigos Categorias'!$C:$C,MATCH(H$1&amp;H103,'Codigos Categorias'!$A:$A&amp;'Codigos Categorias'!$B:$B,0))</f>
        <v>%8390a2dedbe49090baaee7ba489619e8</v>
      </c>
      <c r="K103" s="5" t="s">
        <v>728</v>
      </c>
      <c r="L103" s="5" t="s">
        <v>651</v>
      </c>
      <c r="M103" s="5" t="str" cm="1">
        <f t="array" ref="M103">INDEX('Data Points padrão'!$D:$D,MATCH(D103&amp;F103&amp;H103,'Data Points padrão'!$A:$A&amp;'Data Points padrão'!$B:$B&amp;'Data Points padrão'!$C:$C,0))</f>
        <v>IMPORTANT: DO NOT DELETE ANY TEXT BELOW, JUST ADD RELEVANT ANSWERS !!!
Is the license already available for end-user? (YES/NO): yes
Has OneDrive been re-installed? (YES/NO): 
At which steps of KB/TS the Agent failed:
Confirmation that part of TS was done:</v>
      </c>
      <c r="N103" s="5" t="s">
        <v>49</v>
      </c>
    </row>
    <row r="104" spans="1:14" x14ac:dyDescent="0.3">
      <c r="A104" s="5">
        <v>8</v>
      </c>
      <c r="B104" s="5" t="s">
        <v>652</v>
      </c>
      <c r="D104" s="5" t="s">
        <v>23</v>
      </c>
      <c r="E104" s="5" t="str" cm="1">
        <f t="array" ref="E104">INDEX('Codigos Categorias'!$C:$C,MATCH(D$1&amp;D104,'Codigos Categorias'!$A:$A&amp;'Codigos Categorias'!$B:$B,0))</f>
        <v>%aff2c6640f26210058d8ded0f1050e18</v>
      </c>
      <c r="F104" s="5" t="s">
        <v>24</v>
      </c>
      <c r="G104" s="5" t="str" cm="1">
        <f t="array" ref="G104">INDEX('Codigos Categorias'!$C:$C,MATCH(F$1&amp;F104,'Codigos Categorias'!$A:$A&amp;'Codigos Categorias'!$B:$B,0))</f>
        <v>%b1e171520ff1b204fc37ded0f1050eae</v>
      </c>
      <c r="H104" s="5" t="s">
        <v>97</v>
      </c>
      <c r="I104" s="5" t="str" cm="1">
        <f t="array" ref="I104">INDEX('Codigos Categorias'!$C:$C,MATCH(H$1&amp;H104,'Codigos Categorias'!$A:$A&amp;'Codigos Categorias'!$B:$B,0))</f>
        <v>%cd5e668b0ffe3a00cd6eded0f1050ed5</v>
      </c>
      <c r="K104" s="5" t="s">
        <v>652</v>
      </c>
      <c r="L104" s="5" t="s">
        <v>653</v>
      </c>
      <c r="M104" s="5" t="str" cm="1">
        <f t="array" ref="M104">INDEX('Data Points padrão'!$D:$D,MATCH(D104&amp;F104&amp;H104,'Data Points padrão'!$A:$A&amp;'Data Points padrão'!$B:$B&amp;'Data Points padrão'!$C:$C,0))</f>
        <v xml:space="preserve">IMPORTANT: DO NOT DELETE ANY TEXT BELOW, JUST ADD RELEVANT ANSWERS !!!
IMPORTANT:
-&gt; Confirm hostname DOES NOT start with "DIN" (if it does apply ACCENTURE CSS):
-&gt; this Category is to be used only in case the Bitlocker password was successfully reset/digitally signed e-mails are pending. 
In case Incidents require escalation to next solver group, the DISK ENCRYPTION CSS should be applied instead:
Win10 DWP: Workplace / DWP Win 10 Local Client / Disk Encryption
I - Fill in ONLY if Issue is SOLVED directly &amp; no dispatch of the ticket is needed (otherwise go to point II):
Confirm with "YES" that:
-&gt;Configuration Item added to the ticket:
-&gt; followed Knowledge Article is ATTACHED to the Ticket: 
-&gt; User confirmed Issue is solved: yes
******************************************************************************************
II - Fill in ONLY if Issue is NOT SOLVED &amp; ticket needs to be dispatched (Otherwise skip):  
Confirm with "YES" that Configuration Item added to the ticket:
Manufacturer and model of the computer (Netpro OS / link to device):
Number and sizes of hard disks:
Number and sizes of partitions:
UCMS Version:
Collect all UCMS logfiles and document the path of the created logfile:
</v>
      </c>
      <c r="N104" s="5" t="s">
        <v>49</v>
      </c>
    </row>
    <row r="105" spans="1:14" x14ac:dyDescent="0.3">
      <c r="A105" s="5">
        <v>1</v>
      </c>
      <c r="B105" s="5" t="s">
        <v>658</v>
      </c>
      <c r="D105" s="5" t="s">
        <v>179</v>
      </c>
      <c r="E105" s="5" t="str" cm="1">
        <f t="array" ref="E105">INDEX('Codigos Categorias'!$C:$C,MATCH(D$1&amp;D105,'Codigos Categorias'!$A:$A&amp;'Codigos Categorias'!$B:$B,0))</f>
        <v>%417584570f44cb042505b37ce1050e79</v>
      </c>
      <c r="F105" s="5" t="s">
        <v>180</v>
      </c>
      <c r="G105" s="5" t="str" cm="1">
        <f t="array" ref="G105">INDEX('Codigos Categorias'!$C:$C,MATCH(F$1&amp;F105,'Codigos Categorias'!$A:$A&amp;'Codigos Categorias'!$B:$B,0))</f>
        <v>%ef7a4cdb0f44cb042505b37ce1050ebe</v>
      </c>
      <c r="H105" s="5" t="s">
        <v>181</v>
      </c>
      <c r="I105" s="5" t="str" cm="1">
        <f t="array" ref="I105">INDEX('Codigos Categorias'!$C:$C,MATCH(H$1&amp;H105,'Codigos Categorias'!$A:$A&amp;'Codigos Categorias'!$B:$B,0))</f>
        <v>%e75d1371dbf387000bbbe6ab0b961917</v>
      </c>
      <c r="K105" s="5" t="s">
        <v>658</v>
      </c>
      <c r="L105" s="5" t="s">
        <v>659</v>
      </c>
      <c r="M105" s="5" t="str" cm="1">
        <f t="array" ref="M105">INDEX('Data Points padrão'!$D:$D,MATCH(D105&amp;F105&amp;H105,'Data Points padrão'!$A:$A&amp;'Data Points padrão'!$B:$B&amp;'Data Points padrão'!$C:$C,0))</f>
        <v>IMPORTANT: DO NOT DELETE ANY TEXT BELOW, JUST ADD RELEVANT ANSWERS !!!
Affected GID or email:
URL of Application (if applicable): none
For email issues, use category: Collaboration / Mail Exchange Online 0365 / LTE in SCD
For users located on India or China who need to change/update SCD data, use category: Support / Service Request / SCD / GID
For SCD Certificate issues, use category:  Security and Access / PKI Services - Trustcenter / PKI-others</v>
      </c>
      <c r="N105" s="5" t="s">
        <v>49</v>
      </c>
    </row>
    <row r="106" spans="1:14" x14ac:dyDescent="0.3">
      <c r="A106" s="5">
        <v>1</v>
      </c>
      <c r="B106" s="5" t="s">
        <v>666</v>
      </c>
      <c r="D106" s="5" t="s">
        <v>59</v>
      </c>
      <c r="E106" s="5" t="str" cm="1">
        <f t="array" ref="E106">INDEX('Codigos Categorias'!$C:$C,MATCH(D$1&amp;D106,'Codigos Categorias'!$A:$A&amp;'Codigos Categorias'!$B:$B,0))</f>
        <v>%dff2c6640f26210058d8ded0f1050e12</v>
      </c>
      <c r="F106" s="5" t="s">
        <v>60</v>
      </c>
      <c r="G106" s="5" t="str" cm="1">
        <f t="array" ref="G106">INDEX('Codigos Categorias'!$C:$C,MATCH(F$1&amp;F106,'Codigos Categorias'!$A:$A&amp;'Codigos Categorias'!$B:$B,0))</f>
        <v>%df130275db2f6f001523e6ab0b961944</v>
      </c>
      <c r="H106" s="5" t="s">
        <v>61</v>
      </c>
      <c r="I106" s="5" t="str" cm="1">
        <f t="array" ref="I106">INDEX('Codigos Categorias'!$C:$C,MATCH(H$1&amp;H106,'Codigos Categorias'!$A:$A&amp;'Codigos Categorias'!$B:$B,0))</f>
        <v>%1b60a29edbe49090baaee7ba48961940</v>
      </c>
      <c r="K106" s="5" t="s">
        <v>668</v>
      </c>
      <c r="L106" s="5" t="s">
        <v>667</v>
      </c>
      <c r="M106" s="10" t="str" cm="1">
        <f t="array" ref="M106">INDEX('Data Points padrão'!$D:$D,MATCH(D106&amp;F106&amp;H106,'Data Points padrão'!$A:$A&amp;'Data Points padrão'!$B:$B&amp;'Data Points padrão'!$C:$C,0))</f>
        <v>IMPORTANT: DO NOT DELETE ANY TEXT BELOW, JUST ADD RELEVANT ANSWERS !!!
Has OneDrive being reset? (YES/NO): no
At which steps of KB/TS it failed:
Troubleshooting steps performed:</v>
      </c>
      <c r="N106" s="5" t="s">
        <v>85</v>
      </c>
    </row>
    <row r="107" spans="1:14" x14ac:dyDescent="0.3">
      <c r="A107" s="5">
        <v>1</v>
      </c>
      <c r="B107" s="5" t="s">
        <v>672</v>
      </c>
      <c r="D107" s="5" t="s">
        <v>59</v>
      </c>
      <c r="E107" s="5" t="str" cm="1">
        <f t="array" ref="E107">INDEX('Codigos Categorias'!$C:$C,MATCH(D$1&amp;D107,'Codigos Categorias'!$A:$A&amp;'Codigos Categorias'!$B:$B,0))</f>
        <v>%dff2c6640f26210058d8ded0f1050e12</v>
      </c>
      <c r="F107" s="5" t="s">
        <v>144</v>
      </c>
      <c r="G107" s="5" t="str" cm="1">
        <f t="array" ref="G107">INDEX('Codigos Categorias'!$C:$C,MATCH(F$1&amp;F107,'Codigos Categorias'!$A:$A&amp;'Codigos Categorias'!$B:$B,0))</f>
        <v>%ea30dfeddbf2801c22b9e7ba489619a2</v>
      </c>
      <c r="H107" s="5" t="s">
        <v>170</v>
      </c>
      <c r="I107" s="5" t="str" cm="1">
        <f t="array" ref="I107">INDEX('Codigos Categorias'!$C:$C,MATCH(H$1&amp;H107,'Codigos Categorias'!$A:$A&amp;'Codigos Categorias'!$B:$B,0))</f>
        <v>%8f305321db36801c22b9e7ba48961993</v>
      </c>
      <c r="K107" s="5" t="s">
        <v>672</v>
      </c>
      <c r="L107" s="5" t="s">
        <v>673</v>
      </c>
      <c r="M107" s="10" t="str" cm="1">
        <f t="array" ref="M107">INDEX('Data Points padrão'!$D:$D,MATCH(D107&amp;F107&amp;H107,'Data Points padrão'!$A:$A&amp;'Data Points padrão'!$B:$B&amp;'Data Points padrão'!$C:$C,0))</f>
        <v>IMPORTANT: DO NOT DELETE ANY TEXT BELOW, JUST ADD RELEVANT ANSWERS !!!
Is it working from OWA? (YES/NO):
Affected e-mail/s or mailboxes:
OS Version, see KB0130614:
Outlook Version, see KB0019722:
Type of Network connection (e.g. Office LAN, Home Office): all</v>
      </c>
      <c r="N107" s="5" t="s">
        <v>49</v>
      </c>
    </row>
    <row r="108" spans="1:14" x14ac:dyDescent="0.3">
      <c r="A108" s="5">
        <v>1</v>
      </c>
      <c r="B108" s="5" t="s">
        <v>678</v>
      </c>
      <c r="D108" s="5" t="s">
        <v>59</v>
      </c>
      <c r="E108" s="5" t="str" cm="1">
        <f t="array" ref="E108">INDEX('Codigos Categorias'!$C:$C,MATCH(D$1&amp;D108,'Codigos Categorias'!$A:$A&amp;'Codigos Categorias'!$B:$B,0))</f>
        <v>%dff2c6640f26210058d8ded0f1050e12</v>
      </c>
      <c r="F108" s="5" t="s">
        <v>627</v>
      </c>
      <c r="G108" s="5" t="str" cm="1">
        <f t="array" ref="G108">INDEX('Codigos Categorias'!$C:$C,MATCH(F$1&amp;F108,'Codigos Categorias'!$A:$A&amp;'Codigos Categorias'!$B:$B,0))</f>
        <v>%1ff2c6640f26210058d8ded0f1050e14</v>
      </c>
      <c r="H108" s="5" t="s">
        <v>628</v>
      </c>
      <c r="I108" s="5" t="str" cm="1">
        <f t="array" ref="I108">INDEX('Codigos Categorias'!$C:$C,MATCH(H$1&amp;H108,'Codigos Categorias'!$A:$A&amp;'Codigos Categorias'!$B:$B,0))</f>
        <v>%5ff2c6640f26210058d8ded0f1050e14</v>
      </c>
      <c r="K108" s="5" t="s">
        <v>678</v>
      </c>
      <c r="L108" s="5" t="s">
        <v>679</v>
      </c>
      <c r="M108" s="10" t="e" cm="1">
        <f t="array" ref="M108">INDEX('Data Points padrão'!$D:$D,MATCH(D108&amp;F108&amp;H108,'Data Points padrão'!$A:$A&amp;'Data Points padrão'!$B:$B&amp;'Data Points padrão'!$C:$C,0))</f>
        <v>#N/A</v>
      </c>
      <c r="N108" s="5" t="s">
        <v>49</v>
      </c>
    </row>
    <row r="109" spans="1:14" x14ac:dyDescent="0.3">
      <c r="A109" s="5">
        <v>2</v>
      </c>
      <c r="B109" s="5" t="s">
        <v>680</v>
      </c>
      <c r="D109" s="5" t="s">
        <v>59</v>
      </c>
      <c r="E109" s="5" t="str" cm="1">
        <f t="array" ref="E109">INDEX('Codigos Categorias'!$C:$C,MATCH(D$1&amp;D109,'Codigos Categorias'!$A:$A&amp;'Codigos Categorias'!$B:$B,0))</f>
        <v>%dff2c6640f26210058d8ded0f1050e12</v>
      </c>
      <c r="F109" s="5" t="s">
        <v>627</v>
      </c>
      <c r="G109" s="5" t="str" cm="1">
        <f t="array" ref="G109">INDEX('Codigos Categorias'!$C:$C,MATCH(F$1&amp;F109,'Codigos Categorias'!$A:$A&amp;'Codigos Categorias'!$B:$B,0))</f>
        <v>%1ff2c6640f26210058d8ded0f1050e14</v>
      </c>
      <c r="H109" s="5" t="s">
        <v>628</v>
      </c>
      <c r="I109" s="5" t="str" cm="1">
        <f t="array" ref="I109">INDEX('Codigos Categorias'!$C:$C,MATCH(H$1&amp;H109,'Codigos Categorias'!$A:$A&amp;'Codigos Categorias'!$B:$B,0))</f>
        <v>%5ff2c6640f26210058d8ded0f1050e14</v>
      </c>
      <c r="K109" s="5" t="s">
        <v>680</v>
      </c>
      <c r="L109" s="5" t="s">
        <v>681</v>
      </c>
      <c r="M109" s="10" t="e" cm="1">
        <f t="array" ref="M109">INDEX('Data Points padrão'!$D:$D,MATCH(D109&amp;F109&amp;H109,'Data Points padrão'!$A:$A&amp;'Data Points padrão'!$B:$B&amp;'Data Points padrão'!$C:$C,0))</f>
        <v>#N/A</v>
      </c>
      <c r="N109" s="5" t="s">
        <v>49</v>
      </c>
    </row>
    <row r="110" spans="1:14" x14ac:dyDescent="0.3">
      <c r="A110" s="5">
        <v>11</v>
      </c>
      <c r="B110" s="5" t="s">
        <v>909</v>
      </c>
      <c r="D110" s="5" t="s">
        <v>59</v>
      </c>
      <c r="E110" s="5" t="str" cm="1">
        <f t="array" ref="E110">INDEX('Codigos Categorias'!$C:$C,MATCH(D$1&amp;D110,'Codigos Categorias'!$A:$A&amp;'Codigos Categorias'!$B:$B,0))</f>
        <v>%dff2c6640f26210058d8ded0f1050e12</v>
      </c>
      <c r="F110" s="5" t="s">
        <v>627</v>
      </c>
      <c r="G110" s="5" t="str" cm="1">
        <f t="array" ref="G110">INDEX('Codigos Categorias'!$C:$C,MATCH(F$1&amp;F110,'Codigos Categorias'!$A:$A&amp;'Codigos Categorias'!$B:$B,0))</f>
        <v>%1ff2c6640f26210058d8ded0f1050e14</v>
      </c>
      <c r="H110" s="5" t="s">
        <v>628</v>
      </c>
      <c r="I110" s="5" t="str" cm="1">
        <f t="array" ref="I110">INDEX('Codigos Categorias'!$C:$C,MATCH(H$1&amp;H110,'Codigos Categorias'!$A:$A&amp;'Codigos Categorias'!$B:$B,0))</f>
        <v>%5ff2c6640f26210058d8ded0f1050e14</v>
      </c>
      <c r="K110" s="5" t="s">
        <v>907</v>
      </c>
      <c r="L110" s="5" t="s">
        <v>908</v>
      </c>
      <c r="M110" s="10" t="e" cm="1">
        <f t="array" ref="M110">INDEX('Data Points padrão'!$D:$D,MATCH(D110&amp;F110&amp;H110,'Data Points padrão'!$A:$A&amp;'Data Points padrão'!$B:$B&amp;'Data Points padrão'!$C:$C,0))</f>
        <v>#N/A</v>
      </c>
      <c r="N110" s="5" t="s">
        <v>49</v>
      </c>
    </row>
    <row r="111" spans="1:14" x14ac:dyDescent="0.3">
      <c r="A111" s="5">
        <v>2</v>
      </c>
      <c r="B111" s="5" t="s">
        <v>826</v>
      </c>
      <c r="D111" s="5" t="s">
        <v>23</v>
      </c>
      <c r="E111" s="5" t="str" cm="1">
        <f t="array" ref="E111">INDEX('Codigos Categorias'!$C:$C,MATCH(D$1&amp;D111,'Codigos Categorias'!$A:$A&amp;'Codigos Categorias'!$B:$B,0))</f>
        <v>%aff2c6640f26210058d8ded0f1050e18</v>
      </c>
      <c r="F111" s="5" t="s">
        <v>24</v>
      </c>
      <c r="G111" s="5" t="str" cm="1">
        <f t="array" ref="G111">INDEX('Codigos Categorias'!$C:$C,MATCH(F$1&amp;F111,'Codigos Categorias'!$A:$A&amp;'Codigos Categorias'!$B:$B,0))</f>
        <v>%b1e171520ff1b204fc37ded0f1050eae</v>
      </c>
      <c r="H111" s="5" t="s">
        <v>87</v>
      </c>
      <c r="I111" s="5" t="str" cm="1">
        <f t="array" ref="I111">INDEX('Codigos Categorias'!$C:$C,MATCH(H$1&amp;H111,'Codigos Categorias'!$A:$A&amp;'Codigos Categorias'!$B:$B,0))</f>
        <v>%67ed23bddbda2fc01523e6ab0b96195d</v>
      </c>
      <c r="K111" s="5" t="s">
        <v>826</v>
      </c>
      <c r="L111" s="5" t="s">
        <v>827</v>
      </c>
      <c r="M111" s="10" t="str" cm="1">
        <f t="array" ref="M111">INDEX('Data Points padrão'!$D:$D,MATCH(D111&amp;F111&amp;H111,'Data Points padrão'!$A:$A&amp;'Data Points padrão'!$B:$B&amp;'Data Points padrão'!$C:$C,0))</f>
        <v>IMPORTANT: DO NOT DELETE ANY TEXT BELOW, JUST ADD RELEVANT ANSWERS!!!
Fill in ONLY if Issue is NOT SOLVED &amp; ticket needs to be dispatched (Otherwise skip): 
UCMS logfile attached, see KB0014119? (YES/NO): no</v>
      </c>
      <c r="N111" s="5" t="s">
        <v>85</v>
      </c>
    </row>
    <row r="112" spans="1:14" x14ac:dyDescent="0.3">
      <c r="A112" s="5">
        <v>2</v>
      </c>
      <c r="B112" s="5" t="s">
        <v>688</v>
      </c>
      <c r="D112" s="5" t="s">
        <v>179</v>
      </c>
      <c r="E112" s="5" t="str" cm="1">
        <f t="array" ref="E112">INDEX('Codigos Categorias'!$C:$C,MATCH(D$1&amp;D112,'Codigos Categorias'!$A:$A&amp;'Codigos Categorias'!$B:$B,0))</f>
        <v>%417584570f44cb042505b37ce1050e79</v>
      </c>
      <c r="F112" s="5" t="s">
        <v>689</v>
      </c>
      <c r="G112" s="5" t="str" cm="1">
        <f t="array" ref="G112">INDEX('Codigos Categorias'!$C:$C,MATCH(F$1&amp;F112,'Codigos Categorias'!$A:$A&amp;'Codigos Categorias'!$B:$B,0))</f>
        <v>%61cfb11fdbae77cc8f71e6ab0b9619f2</v>
      </c>
      <c r="H112" s="5" t="s">
        <v>690</v>
      </c>
      <c r="I112" s="5" t="str" cm="1">
        <f t="array" ref="I112">INDEX('Codigos Categorias'!$C:$C,MATCH(H$1&amp;H112,'Codigos Categorias'!$A:$A&amp;'Codigos Categorias'!$B:$B,0))</f>
        <v>%623dbdcf1b4d281094d6859fe54bcb45</v>
      </c>
      <c r="K112" s="5" t="s">
        <v>688</v>
      </c>
      <c r="L112" s="5" t="s">
        <v>693</v>
      </c>
      <c r="M112" s="10" t="e" cm="1">
        <f t="array" ref="M112">INDEX('Data Points padrão'!$D:$D,MATCH(D112&amp;F112&amp;H112,'Data Points padrão'!$A:$A&amp;'Data Points padrão'!$B:$B&amp;'Data Points padrão'!$C:$C,0))</f>
        <v>#N/A</v>
      </c>
      <c r="N112" s="5" t="s">
        <v>85</v>
      </c>
    </row>
    <row r="113" spans="1:14" x14ac:dyDescent="0.3">
      <c r="A113" s="5">
        <v>1</v>
      </c>
      <c r="B113" s="5" t="s">
        <v>707</v>
      </c>
      <c r="D113" s="5" t="s">
        <v>110</v>
      </c>
      <c r="E113" s="5" t="str" cm="1">
        <f t="array" ref="E113">INDEX('Codigos Categorias'!$C:$C,MATCH(D$1&amp;D113,'Codigos Categorias'!$A:$A&amp;'Codigos Categorias'!$B:$B,0))</f>
        <v>%97f2c6640f26210058d8ded0f1050e15</v>
      </c>
      <c r="F113" s="5" t="s">
        <v>111</v>
      </c>
      <c r="G113" s="5" t="str" cm="1">
        <f t="array" ref="G113">INDEX('Codigos Categorias'!$C:$C,MATCH(F$1&amp;F113,'Codigos Categorias'!$A:$A&amp;'Codigos Categorias'!$B:$B,0))</f>
        <v>%e9942fe30f793100bad9ded0f1050e3a</v>
      </c>
      <c r="H113" s="5" t="s">
        <v>254</v>
      </c>
      <c r="I113" s="5" t="str" cm="1">
        <f t="array" ref="I113">INDEX('Codigos Categorias'!$C:$C,MATCH(H$1&amp;H113,'Codigos Categorias'!$A:$A&amp;'Codigos Categorias'!$B:$B,0))</f>
        <v>%93b9a839db2db7800abc5b06ca9619ba</v>
      </c>
      <c r="K113" s="5" t="s">
        <v>707</v>
      </c>
      <c r="L113" s="5" t="s">
        <v>708</v>
      </c>
      <c r="M113" s="10" t="e" cm="1">
        <f t="array" ref="M113">INDEX('Data Points padrão'!$D:$D,MATCH(D113&amp;F113&amp;H113,'Data Points padrão'!$A:$A&amp;'Data Points padrão'!$B:$B&amp;'Data Points padrão'!$C:$C,0))</f>
        <v>#N/A</v>
      </c>
      <c r="N113" s="5" t="s">
        <v>49</v>
      </c>
    </row>
    <row r="114" spans="1:14" x14ac:dyDescent="0.3">
      <c r="A114" s="5">
        <v>2</v>
      </c>
      <c r="B114" s="5" t="s">
        <v>712</v>
      </c>
      <c r="D114" s="5" t="s">
        <v>15</v>
      </c>
      <c r="E114" s="5" t="str" cm="1">
        <f t="array" ref="E114">INDEX('Codigos Categorias'!$C:$C,MATCH(D$1&amp;D114,'Codigos Categorias'!$A:$A&amp;'Codigos Categorias'!$B:$B,0))</f>
        <v>%93f2c6640f26210058d8ded0f1050e12</v>
      </c>
      <c r="F114" s="5" t="s">
        <v>16</v>
      </c>
      <c r="G114" s="5" t="str" cm="1">
        <f t="array" ref="G114">INDEX('Codigos Categorias'!$C:$C,MATCH(F$1&amp;F114,'Codigos Categorias'!$A:$A&amp;'Codigos Categorias'!$B:$B,0))</f>
        <v>%a3f2c6640f26210058d8ded0f1050e1b</v>
      </c>
      <c r="H114" s="5" t="s">
        <v>102</v>
      </c>
      <c r="I114" s="5" t="str" cm="1">
        <f t="array" ref="I114">INDEX('Codigos Categorias'!$C:$C,MATCH(H$1&amp;H114,'Codigos Categorias'!$A:$A&amp;'Codigos Categorias'!$B:$B,0))</f>
        <v>%111e9a3c0f9e82006bdcb47ce1050e03</v>
      </c>
      <c r="K114" s="5" t="s">
        <v>712</v>
      </c>
      <c r="L114" s="5" t="s">
        <v>713</v>
      </c>
      <c r="M114" s="10" t="str" cm="1">
        <f t="array" ref="M114">INDEX('Data Points padrão'!$D:$D,MATCH(D114&amp;F114&amp;H114,'Data Points padrão'!$A:$A&amp;'Data Points padrão'!$B:$B&amp;'Data Points padrão'!$C:$C,0))</f>
        <v>Affected Software: mentioned above</v>
      </c>
      <c r="N114" s="5" t="s">
        <v>85</v>
      </c>
    </row>
    <row r="115" spans="1:14" x14ac:dyDescent="0.3">
      <c r="A115" s="5">
        <v>7</v>
      </c>
      <c r="B115" s="5" t="s">
        <v>721</v>
      </c>
      <c r="D115" s="5" t="s">
        <v>15</v>
      </c>
      <c r="E115" s="5" t="str" cm="1">
        <f t="array" ref="E115">INDEX('Codigos Categorias'!$C:$C,MATCH(D$1&amp;D115,'Codigos Categorias'!$A:$A&amp;'Codigos Categorias'!$B:$B,0))</f>
        <v>%93f2c6640f26210058d8ded0f1050e12</v>
      </c>
      <c r="F115" s="5" t="s">
        <v>16</v>
      </c>
      <c r="G115" s="5" t="str" cm="1">
        <f t="array" ref="G115">INDEX('Codigos Categorias'!$C:$C,MATCH(F$1&amp;F115,'Codigos Categorias'!$A:$A&amp;'Codigos Categorias'!$B:$B,0))</f>
        <v>%a3f2c6640f26210058d8ded0f1050e1b</v>
      </c>
      <c r="H115" s="5" t="s">
        <v>102</v>
      </c>
      <c r="I115" s="5" t="str" cm="1">
        <f t="array" ref="I115">INDEX('Codigos Categorias'!$C:$C,MATCH(H$1&amp;H115,'Codigos Categorias'!$A:$A&amp;'Codigos Categorias'!$B:$B,0))</f>
        <v>%111e9a3c0f9e82006bdcb47ce1050e03</v>
      </c>
      <c r="K115" s="5" t="s">
        <v>721</v>
      </c>
      <c r="L115" s="5" t="s">
        <v>722</v>
      </c>
      <c r="M115" s="10" t="str" cm="1">
        <f t="array" ref="M115">INDEX('Data Points padrão'!$D:$D,MATCH(D115&amp;F115&amp;H115,'Data Points padrão'!$A:$A&amp;'Data Points padrão'!$B:$B&amp;'Data Points padrão'!$C:$C,0))</f>
        <v>Affected Software: mentioned above</v>
      </c>
      <c r="N115" s="5" t="s">
        <v>85</v>
      </c>
    </row>
    <row r="116" spans="1:14" x14ac:dyDescent="0.3">
      <c r="A116" s="5">
        <v>1</v>
      </c>
      <c r="B116" s="5" t="s">
        <v>725</v>
      </c>
      <c r="D116" s="5" t="s">
        <v>44</v>
      </c>
      <c r="E116" s="5" t="str" cm="1">
        <f t="array" ref="E116">INDEX('Codigos Categorias'!$C:$C,MATCH(D$1&amp;D116,'Codigos Categorias'!$A:$A&amp;'Codigos Categorias'!$B:$B,0))</f>
        <v>%e7f2c6640f26210058d8ded0f1050e18</v>
      </c>
      <c r="F116" s="5" t="s">
        <v>73</v>
      </c>
      <c r="G116" s="5" t="str" cm="1">
        <f t="array" ref="G116">INDEX('Codigos Categorias'!$C:$C,MATCH(F$1&amp;F116,'Codigos Categorias'!$A:$A&amp;'Codigos Categorias'!$B:$B,0))</f>
        <v>%6bf2c6640f26210058d8ded0f1050e18</v>
      </c>
      <c r="H116" s="5" t="s">
        <v>637</v>
      </c>
      <c r="I116" s="5" t="str" cm="1">
        <f t="array" ref="I116">INDEX('Codigos Categorias'!$C:$C,MATCH(H$1&amp;H116,'Codigos Categorias'!$A:$A&amp;'Codigos Categorias'!$B:$B,0))</f>
        <v>%647057fc0f12c2006bdcb47ce1050e0b</v>
      </c>
      <c r="K116" s="5" t="s">
        <v>725</v>
      </c>
      <c r="L116" s="5" t="s">
        <v>726</v>
      </c>
      <c r="M116" s="10" t="str" cm="1">
        <f t="array" ref="M116">INDEX('Data Points padrão'!$D:$D,MATCH(D116&amp;F116&amp;H116,'Data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v>
      </c>
      <c r="N116" s="5" t="s">
        <v>49</v>
      </c>
    </row>
    <row r="117" spans="1:14" x14ac:dyDescent="0.3">
      <c r="A117" s="5">
        <v>3</v>
      </c>
      <c r="B117" s="5" t="s">
        <v>730</v>
      </c>
      <c r="D117" s="5" t="s">
        <v>59</v>
      </c>
      <c r="E117" s="5" t="str" cm="1">
        <f t="array" ref="E117">INDEX('Codigos Categorias'!$C:$C,MATCH(D$1&amp;D117,'Codigos Categorias'!$A:$A&amp;'Codigos Categorias'!$B:$B,0))</f>
        <v>%dff2c6640f26210058d8ded0f1050e12</v>
      </c>
      <c r="F117" s="5" t="s">
        <v>144</v>
      </c>
      <c r="G117" s="5" t="str" cm="1">
        <f t="array" ref="G117">INDEX('Codigos Categorias'!$C:$C,MATCH(F$1&amp;F117,'Codigos Categorias'!$A:$A&amp;'Codigos Categorias'!$B:$B,0))</f>
        <v>%ea30dfeddbf2801c22b9e7ba489619a2</v>
      </c>
      <c r="H117" s="5" t="s">
        <v>231</v>
      </c>
      <c r="I117" s="5" t="str" cm="1">
        <f t="array" ref="I117">INDEX('Codigos Categorias'!$C:$C,MATCH(H$1&amp;H117,'Codigos Categorias'!$A:$A&amp;'Codigos Categorias'!$B:$B,0))</f>
        <v>%36405b21db36801c22b9e7ba48961930</v>
      </c>
      <c r="K117" s="5" t="s">
        <v>730</v>
      </c>
      <c r="L117" s="5" t="s">
        <v>731</v>
      </c>
      <c r="M117" s="10" t="str" cm="1">
        <f t="array" ref="M117">INDEX('Data Points padrão'!$D:$D,MATCH(D117&amp;F117&amp;H117,'Data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17" s="5" t="s">
        <v>49</v>
      </c>
    </row>
    <row r="118" spans="1:14" x14ac:dyDescent="0.3">
      <c r="A118" s="5">
        <v>3</v>
      </c>
      <c r="B118" s="5" t="s">
        <v>736</v>
      </c>
      <c r="D118" s="5" t="s">
        <v>80</v>
      </c>
      <c r="E118" s="5" t="str" cm="1">
        <f t="array" ref="E118">INDEX('Codigos Categorias'!$C:$C,MATCH(D$1&amp;D118,'Codigos Categorias'!$A:$A&amp;'Codigos Categorias'!$B:$B,0))</f>
        <v>%13f2c6640f26210058d8ded0f1050e16</v>
      </c>
      <c r="F118" s="5" t="s">
        <v>737</v>
      </c>
      <c r="G118" s="5" t="str" cm="1">
        <f t="array" ref="G118">INDEX('Codigos Categorias'!$C:$C,MATCH(F$1&amp;F118,'Codigos Categorias'!$A:$A&amp;'Codigos Categorias'!$B:$B,0))</f>
        <v>%43625d5d0fbed600ee53c1cce1050eff</v>
      </c>
      <c r="H118" s="5" t="s">
        <v>738</v>
      </c>
      <c r="I118" s="5" t="str" cm="1">
        <f t="array" ref="I118">INDEX('Codigos Categorias'!$C:$C,MATCH(H$1&amp;H118,'Codigos Categorias'!$A:$A&amp;'Codigos Categorias'!$B:$B,0))</f>
        <v>%04631a51db1e1c500b68772b689619c7</v>
      </c>
      <c r="K118" s="5" t="s">
        <v>736</v>
      </c>
      <c r="L118" s="5" t="s">
        <v>741</v>
      </c>
      <c r="M118" s="10" t="str" cm="1">
        <f t="array" ref="M118">INDEX('Data Points padrão'!$D:$D,MATCH(D118&amp;F118&amp;H118,'Data Points padrão'!$A:$A&amp;'Data Points padrão'!$B:$B&amp;'Data Points padrão'!$C:$C,0))</f>
        <v>IMPORTANT: DO NOT DELETE ANY TEXT BELOW, JUST ADD RELEVANT ANSWERS !!!
IMPORTANT:
Always attach screenshot of error message from Zscaler
What is the exact issue (slowness, total Internet outage , specific URLs): 
Number of impacted users: 1
Sample users IDs: 
Customer location (country/city): 
Was it working before?:
Last time it was working properly: 
Was there any change done?: 
Screenshot of http://ip.zscaler.com when accessed by user from the internet browser attached?:
Screenshot of the error attached?: 
Customer connecting via (VPN, GRE, pacfile ,forward proxy):
Knowledge Articles followed:</v>
      </c>
      <c r="N118" s="5" t="s">
        <v>85</v>
      </c>
    </row>
    <row r="119" spans="1:14" x14ac:dyDescent="0.3">
      <c r="A119" s="5">
        <v>1</v>
      </c>
      <c r="B119" s="5" t="s">
        <v>745</v>
      </c>
      <c r="D119" s="5" t="s">
        <v>23</v>
      </c>
      <c r="E119" s="5" t="str" cm="1">
        <f t="array" ref="E119">INDEX('Codigos Categorias'!$C:$C,MATCH(D$1&amp;D119,'Codigos Categorias'!$A:$A&amp;'Codigos Categorias'!$B:$B,0))</f>
        <v>%aff2c6640f26210058d8ded0f1050e18</v>
      </c>
      <c r="F119" s="5" t="s">
        <v>24</v>
      </c>
      <c r="G119" s="5" t="str" cm="1">
        <f t="array" ref="G119">INDEX('Codigos Categorias'!$C:$C,MATCH(F$1&amp;F119,'Codigos Categorias'!$A:$A&amp;'Codigos Categorias'!$B:$B,0))</f>
        <v>%b1e171520ff1b204fc37ded0f1050eae</v>
      </c>
      <c r="H119" s="5" t="s">
        <v>87</v>
      </c>
      <c r="I119" s="5" t="str" cm="1">
        <f t="array" ref="I119">INDEX('Codigos Categorias'!$C:$C,MATCH(H$1&amp;H119,'Codigos Categorias'!$A:$A&amp;'Codigos Categorias'!$B:$B,0))</f>
        <v>%67ed23bddbda2fc01523e6ab0b96195d</v>
      </c>
      <c r="K119" s="5" t="s">
        <v>745</v>
      </c>
      <c r="L119" s="5" t="s">
        <v>746</v>
      </c>
      <c r="M119" s="10" t="str" cm="1">
        <f t="array" ref="M119">INDEX('Data Points padrão'!$D:$D,MATCH(D119&amp;F119&amp;H119,'Data Points padrão'!$A:$A&amp;'Data Points padrão'!$B:$B&amp;'Data Points padrão'!$C:$C,0))</f>
        <v>IMPORTANT: DO NOT DELETE ANY TEXT BELOW, JUST ADD RELEVANT ANSWERS!!!
Fill in ONLY if Issue is NOT SOLVED &amp; ticket needs to be dispatched (Otherwise skip): 
UCMS logfile attached, see KB0014119? (YES/NO): no</v>
      </c>
      <c r="N119" s="5" t="s">
        <v>85</v>
      </c>
    </row>
    <row r="120" spans="1:14" x14ac:dyDescent="0.3">
      <c r="A120" s="5">
        <v>2</v>
      </c>
      <c r="B120" s="5" t="s">
        <v>751</v>
      </c>
      <c r="D120" s="5" t="s">
        <v>80</v>
      </c>
      <c r="E120" s="5" t="str" cm="1">
        <f t="array" ref="E120">INDEX('Codigos Categorias'!$C:$C,MATCH(D$1&amp;D120,'Codigos Categorias'!$A:$A&amp;'Codigos Categorias'!$B:$B,0))</f>
        <v>%13f2c6640f26210058d8ded0f1050e16</v>
      </c>
      <c r="F120" s="5" t="s">
        <v>93</v>
      </c>
      <c r="G120" s="5" t="str" cm="1">
        <f t="array" ref="G120">INDEX('Codigos Categorias'!$C:$C,MATCH(F$1&amp;F120,'Codigos Categorias'!$A:$A&amp;'Codigos Categorias'!$B:$B,0))</f>
        <v>%23f2c6640f26210058d8ded0f1050e17</v>
      </c>
      <c r="H120" s="5" t="s">
        <v>82</v>
      </c>
      <c r="I120" s="5" t="str" cm="1">
        <f t="array" ref="I120">INDEX('Codigos Categorias'!$C:$C,MATCH(H$1&amp;H120,'Codigos Categorias'!$A:$A&amp;'Codigos Categorias'!$B:$B,0))</f>
        <v>%17f2c6640f26210058d8ded0f1050e16</v>
      </c>
      <c r="K120" s="5" t="s">
        <v>749</v>
      </c>
      <c r="L120" s="5" t="s">
        <v>750</v>
      </c>
      <c r="M120" s="10" t="e" cm="1">
        <f t="array" ref="M120">INDEX('Data Points padrão'!$D:$D,MATCH(D120&amp;F120&amp;H120,'Data Points padrão'!$A:$A&amp;'Data Points padrão'!$B:$B&amp;'Data Points padrão'!$C:$C,0))</f>
        <v>#N/A</v>
      </c>
      <c r="N120" s="5" t="s">
        <v>85</v>
      </c>
    </row>
    <row r="121" spans="1:14" x14ac:dyDescent="0.3">
      <c r="A121" s="5">
        <v>1</v>
      </c>
      <c r="B121" s="5" t="s">
        <v>753</v>
      </c>
      <c r="D121" s="5" t="s">
        <v>44</v>
      </c>
      <c r="E121" s="5" t="str" cm="1">
        <f t="array" ref="E121">INDEX('Codigos Categorias'!$C:$C,MATCH(D$1&amp;D121,'Codigos Categorias'!$A:$A&amp;'Codigos Categorias'!$B:$B,0))</f>
        <v>%e7f2c6640f26210058d8ded0f1050e18</v>
      </c>
      <c r="F121" s="5" t="s">
        <v>73</v>
      </c>
      <c r="G121" s="5" t="str" cm="1">
        <f t="array" ref="G121">INDEX('Codigos Categorias'!$C:$C,MATCH(F$1&amp;F121,'Codigos Categorias'!$A:$A&amp;'Codigos Categorias'!$B:$B,0))</f>
        <v>%6bf2c6640f26210058d8ded0f1050e18</v>
      </c>
      <c r="H121" s="5" t="s">
        <v>637</v>
      </c>
      <c r="I121" s="5" t="str" cm="1">
        <f t="array" ref="I121">INDEX('Codigos Categorias'!$C:$C,MATCH(H$1&amp;H121,'Codigos Categorias'!$A:$A&amp;'Codigos Categorias'!$B:$B,0))</f>
        <v>%647057fc0f12c2006bdcb47ce1050e0b</v>
      </c>
      <c r="K121" s="5" t="s">
        <v>753</v>
      </c>
      <c r="L121" s="5" t="s">
        <v>754</v>
      </c>
      <c r="M121" s="10" t="str" cm="1">
        <f t="array" ref="M121">INDEX('Data Points padrão'!$D:$D,MATCH(D121&amp;F121&amp;H121,'Data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GID/Username of the Service/Admin Account:
-&gt; FQDN of the Service/Admin Account:
-&gt; Confirm with "YES" that the relevant Knowledge Article is ATTACHED to the ticket:</v>
      </c>
      <c r="N121" s="5" t="s">
        <v>85</v>
      </c>
    </row>
    <row r="122" spans="1:14" x14ac:dyDescent="0.3">
      <c r="A122" s="5">
        <v>1</v>
      </c>
      <c r="B122" s="5" t="s">
        <v>759</v>
      </c>
      <c r="D122" s="5" t="s">
        <v>23</v>
      </c>
      <c r="E122" s="5" t="str" cm="1">
        <f t="array" ref="E122">INDEX('Codigos Categorias'!$C:$C,MATCH(D$1&amp;D122,'Codigos Categorias'!$A:$A&amp;'Codigos Categorias'!$B:$B,0))</f>
        <v>%aff2c6640f26210058d8ded0f1050e18</v>
      </c>
      <c r="F122" s="5" t="s">
        <v>31</v>
      </c>
      <c r="G122" s="5" t="str" cm="1">
        <f t="array" ref="G122">INDEX('Codigos Categorias'!$C:$C,MATCH(F$1&amp;F122,'Codigos Categorias'!$A:$A&amp;'Codigos Categorias'!$B:$B,0))</f>
        <v>%2bf2c6640f26210058d8ded0f1050e1b</v>
      </c>
      <c r="H122" s="5" t="s">
        <v>261</v>
      </c>
      <c r="I122" s="5" t="str" cm="1">
        <f t="array" ref="I122">INDEX('Codigos Categorias'!$C:$C,MATCH(H$1&amp;H122,'Codigos Categorias'!$A:$A&amp;'Codigos Categorias'!$B:$B,0))</f>
        <v>%b8fffd4a0fbd0200b4d0b37ce1050efc</v>
      </c>
      <c r="K122" s="5" t="s">
        <v>759</v>
      </c>
      <c r="L122" s="5" t="s">
        <v>760</v>
      </c>
      <c r="M122" s="10" t="e" cm="1">
        <f t="array" ref="M122">INDEX('Data Points padrão'!$D:$D,MATCH(D122&amp;F122&amp;H122,'Data Points padrão'!$A:$A&amp;'Data Points padrão'!$B:$B&amp;'Data Points padrão'!$C:$C,0))</f>
        <v>#N/A</v>
      </c>
      <c r="N122" s="5" t="s">
        <v>85</v>
      </c>
    </row>
    <row r="123" spans="1:14" x14ac:dyDescent="0.3">
      <c r="A123" s="5">
        <v>19</v>
      </c>
      <c r="B123" s="5" t="s">
        <v>763</v>
      </c>
      <c r="D123" s="5" t="s">
        <v>80</v>
      </c>
      <c r="E123" s="5" t="str" cm="1">
        <f t="array" ref="E123">INDEX('Codigos Categorias'!$C:$C,MATCH(D$1&amp;D123,'Codigos Categorias'!$A:$A&amp;'Codigos Categorias'!$B:$B,0))</f>
        <v>%13f2c6640f26210058d8ded0f1050e16</v>
      </c>
      <c r="F123" s="5" t="s">
        <v>93</v>
      </c>
      <c r="G123" s="5" t="str" cm="1">
        <f t="array" ref="G123">INDEX('Codigos Categorias'!$C:$C,MATCH(F$1&amp;F123,'Codigos Categorias'!$A:$A&amp;'Codigos Categorias'!$B:$B,0))</f>
        <v>%23f2c6640f26210058d8ded0f1050e17</v>
      </c>
      <c r="H123" s="5" t="s">
        <v>82</v>
      </c>
      <c r="I123" s="5" t="str" cm="1">
        <f t="array" ref="I123">INDEX('Codigos Categorias'!$C:$C,MATCH(H$1&amp;H123,'Codigos Categorias'!$A:$A&amp;'Codigos Categorias'!$B:$B,0))</f>
        <v>%17f2c6640f26210058d8ded0f1050e16</v>
      </c>
      <c r="K123" s="5" t="s">
        <v>763</v>
      </c>
      <c r="L123" s="5" t="s">
        <v>764</v>
      </c>
      <c r="M123" s="10" t="e" cm="1">
        <f t="array" ref="M123">INDEX('Data Points padrão'!$D:$D,MATCH(D123&amp;F123&amp;H123,'Data Points padrão'!$A:$A&amp;'Data Points padrão'!$B:$B&amp;'Data Points padrão'!$C:$C,0))</f>
        <v>#N/A</v>
      </c>
      <c r="N123" s="5" t="s">
        <v>85</v>
      </c>
    </row>
    <row r="124" spans="1:14" x14ac:dyDescent="0.3">
      <c r="A124" s="5">
        <v>1</v>
      </c>
      <c r="B124" s="5" t="s">
        <v>779</v>
      </c>
      <c r="D124" s="5" t="s">
        <v>23</v>
      </c>
      <c r="E124" s="5" t="str" cm="1">
        <f t="array" ref="E124">INDEX('Codigos Categorias'!$C:$C,MATCH(D$1&amp;D124,'Codigos Categorias'!$A:$A&amp;'Codigos Categorias'!$B:$B,0))</f>
        <v>%aff2c6640f26210058d8ded0f1050e18</v>
      </c>
      <c r="F124" s="5" t="s">
        <v>24</v>
      </c>
      <c r="G124" s="5" t="str" cm="1">
        <f t="array" ref="G124">INDEX('Codigos Categorias'!$C:$C,MATCH(F$1&amp;F124,'Codigos Categorias'!$A:$A&amp;'Codigos Categorias'!$B:$B,0))</f>
        <v>%b1e171520ff1b204fc37ded0f1050eae</v>
      </c>
      <c r="H124" s="5" t="s">
        <v>87</v>
      </c>
      <c r="I124" s="5" t="str" cm="1">
        <f t="array" ref="I124">INDEX('Codigos Categorias'!$C:$C,MATCH(H$1&amp;H124,'Codigos Categorias'!$A:$A&amp;'Codigos Categorias'!$B:$B,0))</f>
        <v>%67ed23bddbda2fc01523e6ab0b96195d</v>
      </c>
      <c r="K124" s="5" t="s">
        <v>779</v>
      </c>
      <c r="L124" s="5" t="s">
        <v>780</v>
      </c>
      <c r="M124" s="10" t="str" cm="1">
        <f t="array" ref="M124">INDEX('Data Points padrão'!$D:$D,MATCH(D124&amp;F124&amp;H124,'Data Points padrão'!$A:$A&amp;'Data Points padrão'!$B:$B&amp;'Data Points padrão'!$C:$C,0))</f>
        <v>IMPORTANT: DO NOT DELETE ANY TEXT BELOW, JUST ADD RELEVANT ANSWERS!!!
Fill in ONLY if Issue is NOT SOLVED &amp; ticket needs to be dispatched (Otherwise skip): 
UCMS logfile attached, see KB0014119? (YES/NO): no</v>
      </c>
      <c r="N124" s="5" t="s">
        <v>49</v>
      </c>
    </row>
    <row r="125" spans="1:14" x14ac:dyDescent="0.3">
      <c r="A125" s="5">
        <v>1</v>
      </c>
      <c r="B125" s="5" t="s">
        <v>781</v>
      </c>
      <c r="D125" s="5" t="s">
        <v>23</v>
      </c>
      <c r="E125" s="5" t="str" cm="1">
        <f t="array" ref="E125">INDEX('Codigos Categorias'!$C:$C,MATCH(D$1&amp;D125,'Codigos Categorias'!$A:$A&amp;'Codigos Categorias'!$B:$B,0))</f>
        <v>%aff2c6640f26210058d8ded0f1050e18</v>
      </c>
      <c r="F125" s="5" t="s">
        <v>24</v>
      </c>
      <c r="G125" s="5" t="str" cm="1">
        <f t="array" ref="G125">INDEX('Codigos Categorias'!$C:$C,MATCH(F$1&amp;F125,'Codigos Categorias'!$A:$A&amp;'Codigos Categorias'!$B:$B,0))</f>
        <v>%b1e171520ff1b204fc37ded0f1050eae</v>
      </c>
      <c r="H125" s="5" t="s">
        <v>87</v>
      </c>
      <c r="I125" s="5" t="str" cm="1">
        <f t="array" ref="I125">INDEX('Codigos Categorias'!$C:$C,MATCH(H$1&amp;H125,'Codigos Categorias'!$A:$A&amp;'Codigos Categorias'!$B:$B,0))</f>
        <v>%67ed23bddbda2fc01523e6ab0b96195d</v>
      </c>
      <c r="K125" s="5" t="s">
        <v>781</v>
      </c>
      <c r="L125" s="5" t="s">
        <v>782</v>
      </c>
      <c r="M125" s="10" t="str" cm="1">
        <f t="array" ref="M125">INDEX('Data Points padrão'!$D:$D,MATCH(D125&amp;F125&amp;H125,'Data Points padrão'!$A:$A&amp;'Data Points padrão'!$B:$B&amp;'Data Points padrão'!$C:$C,0))</f>
        <v>IMPORTANT: DO NOT DELETE ANY TEXT BELOW, JUST ADD RELEVANT ANSWERS!!!
Fill in ONLY if Issue is NOT SOLVED &amp; ticket needs to be dispatched (Otherwise skip): 
UCMS logfile attached, see KB0014119? (YES/NO): no</v>
      </c>
      <c r="N125" s="5" t="s">
        <v>49</v>
      </c>
    </row>
    <row r="126" spans="1:14" x14ac:dyDescent="0.3">
      <c r="A126" s="5">
        <v>3</v>
      </c>
      <c r="B126" s="5" t="s">
        <v>786</v>
      </c>
      <c r="D126" s="5" t="s">
        <v>15</v>
      </c>
      <c r="E126" s="5" t="str" cm="1">
        <f t="array" ref="E126">INDEX('Codigos Categorias'!$C:$C,MATCH(D$1&amp;D126,'Codigos Categorias'!$A:$A&amp;'Codigos Categorias'!$B:$B,0))</f>
        <v>%93f2c6640f26210058d8ded0f1050e12</v>
      </c>
      <c r="F126" s="5" t="s">
        <v>16</v>
      </c>
      <c r="G126" s="5" t="str" cm="1">
        <f t="array" ref="G126">INDEX('Codigos Categorias'!$C:$C,MATCH(F$1&amp;F126,'Codigos Categorias'!$A:$A&amp;'Codigos Categorias'!$B:$B,0))</f>
        <v>%a3f2c6640f26210058d8ded0f1050e1b</v>
      </c>
      <c r="H126" s="5" t="s">
        <v>55</v>
      </c>
      <c r="I126" s="5" t="str" cm="1">
        <f t="array" ref="I126">INDEX('Codigos Categorias'!$C:$C,MATCH(H$1&amp;H126,'Codigos Categorias'!$A:$A&amp;'Codigos Categorias'!$B:$B,0))</f>
        <v>%1f04636bdbd83b007f4f5b06ca96196a</v>
      </c>
      <c r="K126" s="5" t="s">
        <v>786</v>
      </c>
      <c r="L126" s="5" t="s">
        <v>787</v>
      </c>
      <c r="M126" s="10" t="str" cm="1">
        <f t="array" ref="M126">INDEX('Data Points padrão'!$D:$D,MATCH(D126&amp;F126&amp;H126,'Data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c r="N126" s="5" t="s">
        <v>49</v>
      </c>
    </row>
    <row r="127" spans="1:14" x14ac:dyDescent="0.3">
      <c r="A127" s="5">
        <v>2</v>
      </c>
      <c r="B127" s="5" t="s">
        <v>791</v>
      </c>
      <c r="D127" s="5" t="s">
        <v>59</v>
      </c>
      <c r="E127" s="5" t="str" cm="1">
        <f t="array" ref="E127">INDEX('Codigos Categorias'!$C:$C,MATCH(D$1&amp;D127,'Codigos Categorias'!$A:$A&amp;'Codigos Categorias'!$B:$B,0))</f>
        <v>%dff2c6640f26210058d8ded0f1050e12</v>
      </c>
      <c r="F127" s="5" t="s">
        <v>627</v>
      </c>
      <c r="G127" s="5" t="str" cm="1">
        <f t="array" ref="G127">INDEX('Codigos Categorias'!$C:$C,MATCH(F$1&amp;F127,'Codigos Categorias'!$A:$A&amp;'Codigos Categorias'!$B:$B,0))</f>
        <v>%1ff2c6640f26210058d8ded0f1050e14</v>
      </c>
      <c r="H127" s="5" t="s">
        <v>628</v>
      </c>
      <c r="I127" s="5" t="str" cm="1">
        <f t="array" ref="I127">INDEX('Codigos Categorias'!$C:$C,MATCH(H$1&amp;H127,'Codigos Categorias'!$A:$A&amp;'Codigos Categorias'!$B:$B,0))</f>
        <v>%5ff2c6640f26210058d8ded0f1050e14</v>
      </c>
      <c r="K127" s="5" t="s">
        <v>791</v>
      </c>
      <c r="L127" s="5" t="s">
        <v>792</v>
      </c>
      <c r="M127" s="10" t="e" cm="1">
        <f t="array" ref="M127">INDEX('Data Points padrão'!$D:$D,MATCH(D127&amp;F127&amp;H127,'Data Points padrão'!$A:$A&amp;'Data Points padrão'!$B:$B&amp;'Data Points padrão'!$C:$C,0))</f>
        <v>#N/A</v>
      </c>
      <c r="N127" s="5" t="s">
        <v>49</v>
      </c>
    </row>
    <row r="128" spans="1:14" x14ac:dyDescent="0.3">
      <c r="A128" s="5">
        <v>20</v>
      </c>
      <c r="B128" s="5" t="s">
        <v>795</v>
      </c>
      <c r="D128" s="5" t="s">
        <v>23</v>
      </c>
      <c r="E128" s="5" t="str" cm="1">
        <f t="array" ref="E128">INDEX('Codigos Categorias'!$C:$C,MATCH(D$1&amp;D128,'Codigos Categorias'!$A:$A&amp;'Codigos Categorias'!$B:$B,0))</f>
        <v>%aff2c6640f26210058d8ded0f1050e18</v>
      </c>
      <c r="F128" s="5" t="s">
        <v>24</v>
      </c>
      <c r="G128" s="5" t="str" cm="1">
        <f t="array" ref="G128">INDEX('Codigos Categorias'!$C:$C,MATCH(F$1&amp;F128,'Codigos Categorias'!$A:$A&amp;'Codigos Categorias'!$B:$B,0))</f>
        <v>%b1e171520ff1b204fc37ded0f1050eae</v>
      </c>
      <c r="H128" s="5" t="s">
        <v>87</v>
      </c>
      <c r="I128" s="5" t="str" cm="1">
        <f t="array" ref="I128">INDEX('Codigos Categorias'!$C:$C,MATCH(H$1&amp;H128,'Codigos Categorias'!$A:$A&amp;'Codigos Categorias'!$B:$B,0))</f>
        <v>%67ed23bddbda2fc01523e6ab0b96195d</v>
      </c>
      <c r="K128" s="5" t="s">
        <v>795</v>
      </c>
      <c r="L128" s="5" t="s">
        <v>796</v>
      </c>
      <c r="M128" s="10" t="str" cm="1">
        <f t="array" ref="M128">INDEX('Data Points padrão'!$D:$D,MATCH(D128&amp;F128&amp;H128,'Data Points padrão'!$A:$A&amp;'Data Points padrão'!$B:$B&amp;'Data Points padrão'!$C:$C,0))</f>
        <v>IMPORTANT: DO NOT DELETE ANY TEXT BELOW, JUST ADD RELEVANT ANSWERS!!!
Fill in ONLY if Issue is NOT SOLVED &amp; ticket needs to be dispatched (Otherwise skip): 
UCMS logfile attached, see KB0014119? (YES/NO): no</v>
      </c>
      <c r="N128" s="5" t="s">
        <v>85</v>
      </c>
    </row>
    <row r="129" spans="1:14" x14ac:dyDescent="0.3">
      <c r="A129" s="5">
        <v>1</v>
      </c>
      <c r="B129" s="5" t="s">
        <v>805</v>
      </c>
      <c r="D129" s="5" t="s">
        <v>23</v>
      </c>
      <c r="E129" s="5" t="str" cm="1">
        <f t="array" ref="E129">INDEX('Codigos Categorias'!$C:$C,MATCH(D$1&amp;D129,'Codigos Categorias'!$A:$A&amp;'Codigos Categorias'!$B:$B,0))</f>
        <v>%aff2c6640f26210058d8ded0f1050e18</v>
      </c>
      <c r="F129" s="5" t="s">
        <v>24</v>
      </c>
      <c r="G129" s="5" t="str" cm="1">
        <f t="array" ref="G129">INDEX('Codigos Categorias'!$C:$C,MATCH(F$1&amp;F129,'Codigos Categorias'!$A:$A&amp;'Codigos Categorias'!$B:$B,0))</f>
        <v>%b1e171520ff1b204fc37ded0f1050eae</v>
      </c>
      <c r="H129" s="5" t="s">
        <v>87</v>
      </c>
      <c r="I129" s="5" t="str" cm="1">
        <f t="array" ref="I129">INDEX('Codigos Categorias'!$C:$C,MATCH(H$1&amp;H129,'Codigos Categorias'!$A:$A&amp;'Codigos Categorias'!$B:$B,0))</f>
        <v>%67ed23bddbda2fc01523e6ab0b96195d</v>
      </c>
      <c r="K129" s="5" t="s">
        <v>805</v>
      </c>
      <c r="L129" s="5" t="s">
        <v>806</v>
      </c>
      <c r="M129" s="10" t="str" cm="1">
        <f t="array" ref="M129">INDEX('Data Points padrão'!$D:$D,MATCH(D129&amp;F129&amp;H129,'Data Points padrão'!$A:$A&amp;'Data Points padrão'!$B:$B&amp;'Data Points padrão'!$C:$C,0))</f>
        <v>IMPORTANT: DO NOT DELETE ANY TEXT BELOW, JUST ADD RELEVANT ANSWERS!!!
Fill in ONLY if Issue is NOT SOLVED &amp; ticket needs to be dispatched (Otherwise skip): 
UCMS logfile attached, see KB0014119? (YES/NO): no</v>
      </c>
      <c r="N129" s="5" t="s">
        <v>85</v>
      </c>
    </row>
    <row r="130" spans="1:14" x14ac:dyDescent="0.3">
      <c r="A130" s="5">
        <v>1</v>
      </c>
      <c r="B130" s="5" t="s">
        <v>809</v>
      </c>
      <c r="D130" s="5" t="s">
        <v>80</v>
      </c>
      <c r="E130" s="5" t="str" cm="1">
        <f t="array" ref="E130">INDEX('Codigos Categorias'!$C:$C,MATCH(D$1&amp;D130,'Codigos Categorias'!$A:$A&amp;'Codigos Categorias'!$B:$B,0))</f>
        <v>%13f2c6640f26210058d8ded0f1050e16</v>
      </c>
      <c r="F130" s="5" t="s">
        <v>81</v>
      </c>
      <c r="G130" s="5" t="str" cm="1">
        <f t="array" ref="G130">INDEX('Codigos Categorias'!$C:$C,MATCH(F$1&amp;F130,'Codigos Categorias'!$A:$A&amp;'Codigos Categorias'!$B:$B,0))</f>
        <v>%93f2c6640f26210058d8ded0f1050e16</v>
      </c>
      <c r="H130" s="5" t="s">
        <v>82</v>
      </c>
      <c r="I130" s="5" t="str" cm="1">
        <f t="array" ref="I130">INDEX('Codigos Categorias'!$C:$C,MATCH(H$1&amp;H130,'Codigos Categorias'!$A:$A&amp;'Codigos Categorias'!$B:$B,0))</f>
        <v>%17f2c6640f26210058d8ded0f1050e16</v>
      </c>
      <c r="K130" s="5" t="s">
        <v>810</v>
      </c>
      <c r="L130" s="5" t="s">
        <v>811</v>
      </c>
      <c r="M130" s="10" t="str" cm="1">
        <f t="array" ref="M130">INDEX('Data Points padrão'!$D:$D,MATCH(D130&amp;F130&amp;H130,'Data Points padrão'!$A:$A&amp;'Data Points padrão'!$B:$B&amp;'Data Points padrão'!$C:$C,0))</f>
        <v>IMPORTANT: Please gather the following MANDATORY DATA POINTS and DO NOT DELETE ANY TEXT BELOW, JUST ADD RELEVANT ANSWERS !!! 
BASIC DATA FOR ANY LAN Connectivity related issues (ALWAYS fill in first)
Is it a reachability or slow response issue?: reachability
Since when this problem started?: 
Was it working before?:
Was there any change done recently?:
Location information (Location, Street, Building, Room):
Users Division (e.g.: Energy, Mobility etc.):
Netcheck Tool Log used (confirm with YES/NO):
Netcheck Logs added as a Zip file? (confirm with YES/NO):
To gather logfiles for Atos managed Windows 10 Clients ALWAYS use Netcheck Tool: KB0120999 - Agent Guide: Network: NetCheck: How to collect and attach data via NetCheck reports
***Only if NetCheck results are not added by User***
IP address: 
Ping Results: 
Tracert results: 
IP address of the destination (in case there is a problem with specified destination, for example some server) or reason why it's not possible to collect:
***************************************
Additionally for potential MI/P2 Issues:
Document at least three affected MAC Adresses:
Document at least three affected Host Names:
***********************************************
Additionaly  for LAN Socket Issues
ipconfig /all output attached?:
When was the LAN socket last time functioning correctly?
What was the host-name connecting the LAN socket last time when it was functioning?
***********************************************
Additionally FOR WAN/SNX ONLY (SKIP IF OTHER ISSUE) TO BE FILLED IN BY ATOS NETWORK TEAM:
Source Router Name or site ID (starting with "O..." or "S..."):
Source IP of the router: 
Destination Router name or site ID (starting with "O..." or "S..."): 
Destination IP of the router:
IMPORTANT NOTE:
If the issue is recognized by the Network Team as connected to WAN/SNX, please change the category to:
Network / Corporate Wide Area Network (SNX, SD WAN) / SNX Related Issue
[EXTRACT]</v>
      </c>
      <c r="N130" s="5" t="s">
        <v>85</v>
      </c>
    </row>
    <row r="131" spans="1:14" x14ac:dyDescent="0.3">
      <c r="A131" s="5">
        <v>1</v>
      </c>
      <c r="B131" s="5" t="s">
        <v>815</v>
      </c>
      <c r="D131" s="5" t="s">
        <v>59</v>
      </c>
      <c r="E131" s="5" t="str" cm="1">
        <f t="array" ref="E131">INDEX('Codigos Categorias'!$C:$C,MATCH(D$1&amp;D131,'Codigos Categorias'!$A:$A&amp;'Codigos Categorias'!$B:$B,0))</f>
        <v>%dff2c6640f26210058d8ded0f1050e12</v>
      </c>
      <c r="F131" s="5" t="s">
        <v>627</v>
      </c>
      <c r="G131" s="5" t="str" cm="1">
        <f t="array" ref="G131">INDEX('Codigos Categorias'!$C:$C,MATCH(F$1&amp;F131,'Codigos Categorias'!$A:$A&amp;'Codigos Categorias'!$B:$B,0))</f>
        <v>%1ff2c6640f26210058d8ded0f1050e14</v>
      </c>
      <c r="H131" s="5" t="s">
        <v>628</v>
      </c>
      <c r="I131" s="5" t="str" cm="1">
        <f t="array" ref="I131">INDEX('Codigos Categorias'!$C:$C,MATCH(H$1&amp;H131,'Codigos Categorias'!$A:$A&amp;'Codigos Categorias'!$B:$B,0))</f>
        <v>%5ff2c6640f26210058d8ded0f1050e14</v>
      </c>
      <c r="K131" s="5" t="s">
        <v>816</v>
      </c>
      <c r="L131" s="5" t="s">
        <v>814</v>
      </c>
      <c r="M131" s="10" t="e" cm="1">
        <f t="array" ref="M131">INDEX('Data Points padrão'!$D:$D,MATCH(D131&amp;F131&amp;H131,'Data Points padrão'!$A:$A&amp;'Data Points padrão'!$B:$B&amp;'Data Points padrão'!$C:$C,0))</f>
        <v>#N/A</v>
      </c>
      <c r="N131" s="5" t="s">
        <v>85</v>
      </c>
    </row>
    <row r="132" spans="1:14" x14ac:dyDescent="0.3">
      <c r="A132" s="5">
        <v>2</v>
      </c>
      <c r="B132" s="5" t="s">
        <v>819</v>
      </c>
      <c r="D132" s="5" t="s">
        <v>44</v>
      </c>
      <c r="E132" s="5" t="str" cm="1">
        <f t="array" ref="E132">INDEX('Codigos Categorias'!$C:$C,MATCH(D$1&amp;D132,'Codigos Categorias'!$A:$A&amp;'Codigos Categorias'!$B:$B,0))</f>
        <v>%e7f2c6640f26210058d8ded0f1050e18</v>
      </c>
      <c r="F132" s="5" t="s">
        <v>142</v>
      </c>
      <c r="G132" s="5" t="str" cm="1">
        <f t="array" ref="G132">INDEX('Codigos Categorias'!$C:$C,MATCH(F$1&amp;F132,'Codigos Categorias'!$A:$A&amp;'Codigos Categorias'!$B:$B,0))</f>
        <v>%559fb0dc0f927500bad9ded0f1050e9f</v>
      </c>
      <c r="H132" s="5" t="s">
        <v>624</v>
      </c>
      <c r="I132" s="5" t="str" cm="1">
        <f t="array" ref="I132">INDEX('Codigos Categorias'!$C:$C,MATCH(H$1&amp;H132,'Codigos Categorias'!$A:$A&amp;'Codigos Categorias'!$B:$B,0))</f>
        <v>%ebf2c6640f26210058d8ded0f1050e18</v>
      </c>
      <c r="K132" s="5" t="s">
        <v>819</v>
      </c>
      <c r="L132" s="5" t="s">
        <v>820</v>
      </c>
      <c r="M132" s="10" t="str" cm="1">
        <f t="array" ref="M132">INDEX('Data Points padrão'!$D:$D,MATCH(D132&amp;F132&amp;H132,'Data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132" s="5" t="s">
        <v>85</v>
      </c>
    </row>
    <row r="133" spans="1:14" x14ac:dyDescent="0.3">
      <c r="A133" s="5">
        <v>2</v>
      </c>
      <c r="B133" s="5" t="s">
        <v>822</v>
      </c>
      <c r="D133" s="5" t="s">
        <v>44</v>
      </c>
      <c r="E133" s="5" t="str" cm="1">
        <f t="array" ref="E133">INDEX('Codigos Categorias'!$C:$C,MATCH(D$1&amp;D133,'Codigos Categorias'!$A:$A&amp;'Codigos Categorias'!$B:$B,0))</f>
        <v>%e7f2c6640f26210058d8ded0f1050e18</v>
      </c>
      <c r="F133" s="5" t="s">
        <v>142</v>
      </c>
      <c r="G133" s="5" t="str" cm="1">
        <f t="array" ref="G133">INDEX('Codigos Categorias'!$C:$C,MATCH(F$1&amp;F133,'Codigos Categorias'!$A:$A&amp;'Codigos Categorias'!$B:$B,0))</f>
        <v>%559fb0dc0f927500bad9ded0f1050e9f</v>
      </c>
      <c r="H133" s="5" t="s">
        <v>624</v>
      </c>
      <c r="I133" s="5" t="str" cm="1">
        <f t="array" ref="I133">INDEX('Codigos Categorias'!$C:$C,MATCH(H$1&amp;H133,'Codigos Categorias'!$A:$A&amp;'Codigos Categorias'!$B:$B,0))</f>
        <v>%ebf2c6640f26210058d8ded0f1050e18</v>
      </c>
      <c r="K133" s="5" t="s">
        <v>822</v>
      </c>
      <c r="L133" s="5" t="s">
        <v>823</v>
      </c>
      <c r="M133" s="10" t="str" cm="1">
        <f t="array" ref="M133">INDEX('Data Points padrão'!$D:$D,MATCH(D133&amp;F133&amp;H133,'Data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133" s="5" t="s">
        <v>85</v>
      </c>
    </row>
    <row r="134" spans="1:14" x14ac:dyDescent="0.3">
      <c r="A134" s="5">
        <v>1</v>
      </c>
      <c r="B134" s="5" t="s">
        <v>834</v>
      </c>
      <c r="D134" s="5" t="s">
        <v>59</v>
      </c>
      <c r="E134" s="5" t="str" cm="1">
        <f t="array" ref="E134">INDEX('Codigos Categorias'!$C:$C,MATCH(D$1&amp;D134,'Codigos Categorias'!$A:$A&amp;'Codigos Categorias'!$B:$B,0))</f>
        <v>%dff2c6640f26210058d8ded0f1050e12</v>
      </c>
      <c r="F134" s="5" t="s">
        <v>627</v>
      </c>
      <c r="G134" s="5" t="str" cm="1">
        <f t="array" ref="G134">INDEX('Codigos Categorias'!$C:$C,MATCH(F$1&amp;F134,'Codigos Categorias'!$A:$A&amp;'Codigos Categorias'!$B:$B,0))</f>
        <v>%1ff2c6640f26210058d8ded0f1050e14</v>
      </c>
      <c r="H134" s="5" t="s">
        <v>835</v>
      </c>
      <c r="I134" s="5" t="str" cm="1">
        <f t="array" ref="I134">INDEX('Codigos Categorias'!$C:$C,MATCH(H$1&amp;H134,'Codigos Categorias'!$A:$A&amp;'Codigos Categorias'!$B:$B,0))</f>
        <v>%9ff2c6640f26210058d8ded0f1050e14</v>
      </c>
      <c r="K134" s="5" t="s">
        <v>834</v>
      </c>
      <c r="L134" s="5" t="s">
        <v>837</v>
      </c>
      <c r="M134" s="10" t="e" cm="1">
        <f t="array" ref="M134">INDEX('Data Points padrão'!$D:$D,MATCH(D134&amp;F134&amp;H134,'Data Points padrão'!$A:$A&amp;'Data Points padrão'!$B:$B&amp;'Data Points padrão'!$C:$C,0))</f>
        <v>#N/A</v>
      </c>
      <c r="N134" s="5" t="s">
        <v>85</v>
      </c>
    </row>
    <row r="135" spans="1:14" x14ac:dyDescent="0.3">
      <c r="A135" s="5">
        <v>3</v>
      </c>
      <c r="B135" s="5" t="s">
        <v>838</v>
      </c>
      <c r="D135" s="5" t="s">
        <v>59</v>
      </c>
      <c r="E135" s="5" t="str" cm="1">
        <f t="array" ref="E135">INDEX('Codigos Categorias'!$C:$C,MATCH(D$1&amp;D135,'Codigos Categorias'!$A:$A&amp;'Codigos Categorias'!$B:$B,0))</f>
        <v>%dff2c6640f26210058d8ded0f1050e12</v>
      </c>
      <c r="F135" s="5" t="s">
        <v>144</v>
      </c>
      <c r="G135" s="5" t="str" cm="1">
        <f t="array" ref="G135">INDEX('Codigos Categorias'!$C:$C,MATCH(F$1&amp;F135,'Codigos Categorias'!$A:$A&amp;'Codigos Categorias'!$B:$B,0))</f>
        <v>%ea30dfeddbf2801c22b9e7ba489619a2</v>
      </c>
      <c r="H135" s="5" t="s">
        <v>574</v>
      </c>
      <c r="I135" s="5" t="str" cm="1">
        <f t="array" ref="I135">INDEX('Codigos Categorias'!$C:$C,MATCH(H$1&amp;H135,'Codigos Categorias'!$A:$A&amp;'Codigos Categorias'!$B:$B,0))</f>
        <v>%09509f21db36801c22b9e7ba489619a0</v>
      </c>
      <c r="K135" s="5" t="s">
        <v>838</v>
      </c>
      <c r="L135" s="5" t="s">
        <v>839</v>
      </c>
      <c r="M135" s="10" t="str" cm="1">
        <f t="array" ref="M135">INDEX('Data Points padrão'!$D:$D,MATCH(D135&amp;F135&amp;H135,'Data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35" s="5" t="s">
        <v>49</v>
      </c>
    </row>
    <row r="136" spans="1:14" x14ac:dyDescent="0.3">
      <c r="A136" s="5">
        <v>1</v>
      </c>
      <c r="B136" s="5" t="s">
        <v>844</v>
      </c>
      <c r="D136" s="5" t="s">
        <v>23</v>
      </c>
      <c r="E136" s="5" t="str" cm="1">
        <f t="array" ref="E136">INDEX('Codigos Categorias'!$C:$C,MATCH(D$1&amp;D136,'Codigos Categorias'!$A:$A&amp;'Codigos Categorias'!$B:$B,0))</f>
        <v>%aff2c6640f26210058d8ded0f1050e18</v>
      </c>
      <c r="F136" s="5" t="s">
        <v>24</v>
      </c>
      <c r="G136" s="5" t="str" cm="1">
        <f t="array" ref="G136">INDEX('Codigos Categorias'!$C:$C,MATCH(F$1&amp;F136,'Codigos Categorias'!$A:$A&amp;'Codigos Categorias'!$B:$B,0))</f>
        <v>%b1e171520ff1b204fc37ded0f1050eae</v>
      </c>
      <c r="H136" s="5" t="s">
        <v>87</v>
      </c>
      <c r="I136" s="5" t="str" cm="1">
        <f t="array" ref="I136">INDEX('Codigos Categorias'!$C:$C,MATCH(H$1&amp;H136,'Codigos Categorias'!$A:$A&amp;'Codigos Categorias'!$B:$B,0))</f>
        <v>%67ed23bddbda2fc01523e6ab0b96195d</v>
      </c>
      <c r="K136" s="5" t="s">
        <v>844</v>
      </c>
      <c r="L136" s="5" t="s">
        <v>845</v>
      </c>
      <c r="M136" s="10" t="str" cm="1">
        <f t="array" ref="M136">INDEX('Data Points padrão'!$D:$D,MATCH(D136&amp;F136&amp;H136,'Data Points padrão'!$A:$A&amp;'Data Points padrão'!$B:$B&amp;'Data Points padrão'!$C:$C,0))</f>
        <v>IMPORTANT: DO NOT DELETE ANY TEXT BELOW, JUST ADD RELEVANT ANSWERS!!!
Fill in ONLY if Issue is NOT SOLVED &amp; ticket needs to be dispatched (Otherwise skip): 
UCMS logfile attached, see KB0014119? (YES/NO): no</v>
      </c>
      <c r="N136" s="5" t="s">
        <v>49</v>
      </c>
    </row>
    <row r="137" spans="1:14" x14ac:dyDescent="0.3">
      <c r="A137" s="5">
        <v>1</v>
      </c>
      <c r="B137" s="5" t="s">
        <v>848</v>
      </c>
      <c r="D137" s="5" t="s">
        <v>59</v>
      </c>
      <c r="E137" s="5" t="str" cm="1">
        <f t="array" ref="E137">INDEX('Codigos Categorias'!$C:$C,MATCH(D$1&amp;D137,'Codigos Categorias'!$A:$A&amp;'Codigos Categorias'!$B:$B,0))</f>
        <v>%dff2c6640f26210058d8ded0f1050e12</v>
      </c>
      <c r="F137" s="5" t="s">
        <v>60</v>
      </c>
      <c r="G137" s="5" t="str" cm="1">
        <f t="array" ref="G137">INDEX('Codigos Categorias'!$C:$C,MATCH(F$1&amp;F137,'Codigos Categorias'!$A:$A&amp;'Codigos Categorias'!$B:$B,0))</f>
        <v>%df130275db2f6f001523e6ab0b961944</v>
      </c>
      <c r="H137" s="5" t="s">
        <v>61</v>
      </c>
      <c r="I137" s="5" t="str" cm="1">
        <f t="array" ref="I137">INDEX('Codigos Categorias'!$C:$C,MATCH(H$1&amp;H137,'Codigos Categorias'!$A:$A&amp;'Codigos Categorias'!$B:$B,0))</f>
        <v>%1b60a29edbe49090baaee7ba48961940</v>
      </c>
      <c r="K137" s="5" t="s">
        <v>848</v>
      </c>
      <c r="L137" s="5" t="s">
        <v>849</v>
      </c>
      <c r="M137" s="10" t="str" cm="1">
        <f t="array" ref="M137">INDEX('Data Points padrão'!$D:$D,MATCH(D137&amp;F137&amp;H137,'Data Points padrão'!$A:$A&amp;'Data Points padrão'!$B:$B&amp;'Data Points padrão'!$C:$C,0))</f>
        <v>IMPORTANT: DO NOT DELETE ANY TEXT BELOW, JUST ADD RELEVANT ANSWERS !!!
Has OneDrive being reset? (YES/NO): no
At which steps of KB/TS it failed:
Troubleshooting steps performed:</v>
      </c>
      <c r="N137" s="5" t="s">
        <v>49</v>
      </c>
    </row>
    <row r="138" spans="1:14" x14ac:dyDescent="0.3">
      <c r="A138" s="5">
        <v>2</v>
      </c>
      <c r="B138" s="5" t="s">
        <v>852</v>
      </c>
      <c r="D138" s="5" t="s">
        <v>110</v>
      </c>
      <c r="E138" s="5" t="str" cm="1">
        <f t="array" ref="E138">INDEX('Codigos Categorias'!$C:$C,MATCH(D$1&amp;D138,'Codigos Categorias'!$A:$A&amp;'Codigos Categorias'!$B:$B,0))</f>
        <v>%97f2c6640f26210058d8ded0f1050e15</v>
      </c>
      <c r="F138" s="5" t="s">
        <v>111</v>
      </c>
      <c r="G138" s="5" t="str" cm="1">
        <f t="array" ref="G138">INDEX('Codigos Categorias'!$C:$C,MATCH(F$1&amp;F138,'Codigos Categorias'!$A:$A&amp;'Codigos Categorias'!$B:$B,0))</f>
        <v>%e9942fe30f793100bad9ded0f1050e3a</v>
      </c>
      <c r="H138" s="5" t="s">
        <v>219</v>
      </c>
      <c r="I138" s="5" t="str" cm="1">
        <f t="array" ref="I138">INDEX('Codigos Categorias'!$C:$C,MATCH(H$1&amp;H138,'Codigos Categorias'!$A:$A&amp;'Codigos Categorias'!$B:$B,0))</f>
        <v>%23f2c6640f26210058d8ded0f1050e1b</v>
      </c>
      <c r="K138" s="5" t="s">
        <v>852</v>
      </c>
      <c r="L138" s="5" t="s">
        <v>853</v>
      </c>
      <c r="M138" s="10" t="str" cm="1">
        <f t="array" ref="M138">INDEX('Data Points padrão'!$D:$D,MATCH(D138&amp;F138&amp;H138,'Data Points padrão'!$A:$A&amp;'Data Points padrão'!$B:$B&amp;'Data Points padrão'!$C:$C,0))</f>
        <v>IMPORTANT: Please gather the following MANDATORY DATA POINTS and DO NOT DELETE ANY TEXT BELOW, JUST ADD RELEVANT ANSWERS !!!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Server name / Path to share / And if applicable File name:
Share Owner:
Date when the user remembers that the file or folder was still on the server:
Screenshot of the error message attached?:
Performed Troubleshoot:</v>
      </c>
      <c r="N138" s="5" t="s">
        <v>49</v>
      </c>
    </row>
    <row r="139" spans="1:14" x14ac:dyDescent="0.3">
      <c r="A139" s="5">
        <v>8</v>
      </c>
      <c r="B139" s="5" t="s">
        <v>858</v>
      </c>
      <c r="D139" s="5" t="s">
        <v>15</v>
      </c>
      <c r="E139" s="5" t="str" cm="1">
        <f t="array" ref="E139">INDEX('Codigos Categorias'!$C:$C,MATCH(D$1&amp;D139,'Codigos Categorias'!$A:$A&amp;'Codigos Categorias'!$B:$B,0))</f>
        <v>%93f2c6640f26210058d8ded0f1050e12</v>
      </c>
      <c r="F139" s="5" t="s">
        <v>16</v>
      </c>
      <c r="G139" s="5" t="str" cm="1">
        <f t="array" ref="G139">INDEX('Codigos Categorias'!$C:$C,MATCH(F$1&amp;F139,'Codigos Categorias'!$A:$A&amp;'Codigos Categorias'!$B:$B,0))</f>
        <v>%a3f2c6640f26210058d8ded0f1050e1b</v>
      </c>
      <c r="H139" s="5" t="s">
        <v>102</v>
      </c>
      <c r="I139" s="5" t="str" cm="1">
        <f t="array" ref="I139">INDEX('Codigos Categorias'!$C:$C,MATCH(H$1&amp;H139,'Codigos Categorias'!$A:$A&amp;'Codigos Categorias'!$B:$B,0))</f>
        <v>%111e9a3c0f9e82006bdcb47ce1050e03</v>
      </c>
      <c r="K139" s="5" t="s">
        <v>858</v>
      </c>
      <c r="L139" s="5" t="s">
        <v>859</v>
      </c>
      <c r="M139" s="10" t="str" cm="1">
        <f t="array" ref="M139">INDEX('Data Points padrão'!$D:$D,MATCH(D139&amp;F139&amp;H139,'Data Points padrão'!$A:$A&amp;'Data Points padrão'!$B:$B&amp;'Data Points padrão'!$C:$C,0))</f>
        <v>Affected Software: mentioned above</v>
      </c>
      <c r="N139" s="5" t="s">
        <v>49</v>
      </c>
    </row>
    <row r="140" spans="1:14" x14ac:dyDescent="0.3">
      <c r="A140" s="5">
        <v>1</v>
      </c>
      <c r="B140" s="5" t="s">
        <v>866</v>
      </c>
      <c r="D140" s="5" t="s">
        <v>59</v>
      </c>
      <c r="E140" s="5" t="str" cm="1">
        <f t="array" ref="E140">INDEX('Codigos Categorias'!$C:$C,MATCH(D$1&amp;D140,'Codigos Categorias'!$A:$A&amp;'Codigos Categorias'!$B:$B,0))</f>
        <v>%dff2c6640f26210058d8ded0f1050e12</v>
      </c>
      <c r="F140" s="5" t="s">
        <v>627</v>
      </c>
      <c r="G140" s="5" t="str" cm="1">
        <f t="array" ref="G140">INDEX('Codigos Categorias'!$C:$C,MATCH(F$1&amp;F140,'Codigos Categorias'!$A:$A&amp;'Codigos Categorias'!$B:$B,0))</f>
        <v>%1ff2c6640f26210058d8ded0f1050e14</v>
      </c>
      <c r="H140" s="5" t="s">
        <v>628</v>
      </c>
      <c r="I140" s="5" t="str" cm="1">
        <f t="array" ref="I140">INDEX('Codigos Categorias'!$C:$C,MATCH(H$1&amp;H140,'Codigos Categorias'!$A:$A&amp;'Codigos Categorias'!$B:$B,0))</f>
        <v>%5ff2c6640f26210058d8ded0f1050e14</v>
      </c>
      <c r="K140" s="5" t="s">
        <v>866</v>
      </c>
      <c r="L140" s="5" t="s">
        <v>867</v>
      </c>
      <c r="M140" s="10" t="e" cm="1">
        <f t="array" ref="M140">INDEX('Data Points padrão'!$D:$D,MATCH(D140&amp;F140&amp;H140,'Data Points padrão'!$A:$A&amp;'Data Points padrão'!$B:$B&amp;'Data Points padrão'!$C:$C,0))</f>
        <v>#N/A</v>
      </c>
      <c r="N140" s="5" t="s">
        <v>85</v>
      </c>
    </row>
    <row r="141" spans="1:14" x14ac:dyDescent="0.3">
      <c r="A141" s="5">
        <v>2</v>
      </c>
      <c r="B141" s="5" t="s">
        <v>877</v>
      </c>
      <c r="D141" s="5" t="s">
        <v>59</v>
      </c>
      <c r="E141" s="5" t="str" cm="1">
        <f t="array" ref="E141">INDEX('Codigos Categorias'!$C:$C,MATCH(D$1&amp;D141,'Codigos Categorias'!$A:$A&amp;'Codigos Categorias'!$B:$B,0))</f>
        <v>%dff2c6640f26210058d8ded0f1050e12</v>
      </c>
      <c r="F141" s="5" t="s">
        <v>144</v>
      </c>
      <c r="G141" s="5" t="str" cm="1">
        <f t="array" ref="G141">INDEX('Codigos Categorias'!$C:$C,MATCH(F$1&amp;F141,'Codigos Categorias'!$A:$A&amp;'Codigos Categorias'!$B:$B,0))</f>
        <v>%ea30dfeddbf2801c22b9e7ba489619a2</v>
      </c>
      <c r="H141" s="5" t="s">
        <v>231</v>
      </c>
      <c r="I141" s="5" t="str" cm="1">
        <f t="array" ref="I141">INDEX('Codigos Categorias'!$C:$C,MATCH(H$1&amp;H141,'Codigos Categorias'!$A:$A&amp;'Codigos Categorias'!$B:$B,0))</f>
        <v>%36405b21db36801c22b9e7ba48961930</v>
      </c>
      <c r="K141" s="5" t="s">
        <v>877</v>
      </c>
      <c r="L141" s="5" t="s">
        <v>894</v>
      </c>
      <c r="M141" s="10" t="str" cm="1">
        <f t="array" ref="M141">INDEX('Data Points padrão'!$D:$D,MATCH(D141&amp;F141&amp;H141,'Data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41" s="5" t="s">
        <v>85</v>
      </c>
    </row>
    <row r="142" spans="1:14" x14ac:dyDescent="0.3">
      <c r="A142" s="5">
        <v>1</v>
      </c>
      <c r="B142" s="5" t="s">
        <v>880</v>
      </c>
      <c r="D142" s="5" t="s">
        <v>23</v>
      </c>
      <c r="E142" s="5" t="str" cm="1">
        <f t="array" ref="E142">INDEX('Codigos Categorias'!$C:$C,MATCH(D$1&amp;D142,'Codigos Categorias'!$A:$A&amp;'Codigos Categorias'!$B:$B,0))</f>
        <v>%aff2c6640f26210058d8ded0f1050e18</v>
      </c>
      <c r="F142" s="5" t="s">
        <v>24</v>
      </c>
      <c r="G142" s="5" t="str" cm="1">
        <f t="array" ref="G142">INDEX('Codigos Categorias'!$C:$C,MATCH(F$1&amp;F142,'Codigos Categorias'!$A:$A&amp;'Codigos Categorias'!$B:$B,0))</f>
        <v>%b1e171520ff1b204fc37ded0f1050eae</v>
      </c>
      <c r="H142" s="5" t="s">
        <v>175</v>
      </c>
      <c r="I142" s="5" t="str" cm="1">
        <f t="array" ref="I142">INDEX('Codigos Categorias'!$C:$C,MATCH(H$1&amp;H142,'Codigos Categorias'!$A:$A&amp;'Codigos Categorias'!$B:$B,0))</f>
        <v>%0cf2f8111beae81471ed620ee54bcb16</v>
      </c>
      <c r="K142" s="5" t="s">
        <v>880</v>
      </c>
      <c r="L142" s="5" t="s">
        <v>881</v>
      </c>
      <c r="M142" s="10" t="str" cm="1">
        <f t="array" ref="M142">INDEX('Data Points padrão'!$D:$D,MATCH(D142&amp;F142&amp;H142,'Data Points padrão'!$A:$A&amp;'Data Points padrão'!$B:$B&amp;'Data Points padrão'!$C:$C,0))</f>
        <v>IMPORTANT: DO NOT DELETE ANY TEXT BELOW, JUST ADD RELEVANT ANSWERS!!!
ADD "20H2" or "1909" at the beginning of the Short Description!!!
Fill in ONLY if Issue is NOT SOLVED &amp; ticket needs to be dispatched (Otherwise skip):
UCMS logfile attached, see KB0014119 (YES/NO):
Pather logfile attached, see KB0138165 (YES/NO): no</v>
      </c>
      <c r="N142" s="5" t="s">
        <v>49</v>
      </c>
    </row>
    <row r="143" spans="1:14" x14ac:dyDescent="0.3">
      <c r="A143" s="5">
        <v>1</v>
      </c>
      <c r="B143" s="5" t="s">
        <v>893</v>
      </c>
      <c r="D143" s="5" t="s">
        <v>59</v>
      </c>
      <c r="E143" s="5" t="str" cm="1">
        <f t="array" ref="E143">INDEX('Codigos Categorias'!$C:$C,MATCH(D$1&amp;D143,'Codigos Categorias'!$A:$A&amp;'Codigos Categorias'!$B:$B,0))</f>
        <v>%dff2c6640f26210058d8ded0f1050e12</v>
      </c>
      <c r="F143" s="5" t="s">
        <v>144</v>
      </c>
      <c r="G143" s="5" t="str" cm="1">
        <f t="array" ref="G143">INDEX('Codigos Categorias'!$C:$C,MATCH(F$1&amp;F143,'Codigos Categorias'!$A:$A&amp;'Codigos Categorias'!$B:$B,0))</f>
        <v>%ea30dfeddbf2801c22b9e7ba489619a2</v>
      </c>
      <c r="H143" s="5" t="s">
        <v>574</v>
      </c>
      <c r="I143" s="5" t="str" cm="1">
        <f t="array" ref="I143">INDEX('Codigos Categorias'!$C:$C,MATCH(H$1&amp;H143,'Codigos Categorias'!$A:$A&amp;'Codigos Categorias'!$B:$B,0))</f>
        <v>%09509f21db36801c22b9e7ba489619a0</v>
      </c>
      <c r="K143" s="5" t="s">
        <v>893</v>
      </c>
      <c r="L143" s="5" t="s">
        <v>895</v>
      </c>
      <c r="M143" s="10" t="str" cm="1">
        <f t="array" ref="M143">INDEX('Data Points padrão'!$D:$D,MATCH(D143&amp;F143&amp;H143,'Data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43" s="5" t="s">
        <v>49</v>
      </c>
    </row>
    <row r="144" spans="1:14" x14ac:dyDescent="0.3">
      <c r="A144" s="5">
        <v>2</v>
      </c>
      <c r="B144" s="5" t="s">
        <v>899</v>
      </c>
      <c r="D144" s="5" t="s">
        <v>23</v>
      </c>
      <c r="E144" s="5" t="str" cm="1">
        <f t="array" ref="E144">INDEX('Codigos Categorias'!$C:$C,MATCH(D$1&amp;D144,'Codigos Categorias'!$A:$A&amp;'Codigos Categorias'!$B:$B,0))</f>
        <v>%aff2c6640f26210058d8ded0f1050e18</v>
      </c>
      <c r="F144" s="5" t="s">
        <v>24</v>
      </c>
      <c r="G144" s="5" t="str" cm="1">
        <f t="array" ref="G144">INDEX('Codigos Categorias'!$C:$C,MATCH(F$1&amp;F144,'Codigos Categorias'!$A:$A&amp;'Codigos Categorias'!$B:$B,0))</f>
        <v>%b1e171520ff1b204fc37ded0f1050eae</v>
      </c>
      <c r="H144" s="5" t="s">
        <v>87</v>
      </c>
      <c r="I144" s="5" t="str" cm="1">
        <f t="array" ref="I144">INDEX('Codigos Categorias'!$C:$C,MATCH(H$1&amp;H144,'Codigos Categorias'!$A:$A&amp;'Codigos Categorias'!$B:$B,0))</f>
        <v>%67ed23bddbda2fc01523e6ab0b96195d</v>
      </c>
      <c r="K144" s="5" t="s">
        <v>898</v>
      </c>
      <c r="L144" s="5" t="s">
        <v>900</v>
      </c>
      <c r="M144" s="10" t="str" cm="1">
        <f t="array" ref="M144">INDEX('Data Points padrão'!$D:$D,MATCH(D144&amp;F144&amp;H144,'Data Points padrão'!$A:$A&amp;'Data Points padrão'!$B:$B&amp;'Data Points padrão'!$C:$C,0))</f>
        <v>IMPORTANT: DO NOT DELETE ANY TEXT BELOW, JUST ADD RELEVANT ANSWERS!!!
Fill in ONLY if Issue is NOT SOLVED &amp; ticket needs to be dispatched (Otherwise skip): 
UCMS logfile attached, see KB0014119? (YES/NO): no</v>
      </c>
      <c r="N144" s="5" t="s">
        <v>85</v>
      </c>
    </row>
    <row r="145" spans="1:14" x14ac:dyDescent="0.3">
      <c r="A145" s="5">
        <v>1</v>
      </c>
      <c r="B145" s="5" t="s">
        <v>901</v>
      </c>
      <c r="D145" s="5" t="s">
        <v>59</v>
      </c>
      <c r="E145" s="5" t="str" cm="1">
        <f t="array" ref="E145">INDEX('Codigos Categorias'!$C:$C,MATCH(D$1&amp;D145,'Codigos Categorias'!$A:$A&amp;'Codigos Categorias'!$B:$B,0))</f>
        <v>%dff2c6640f26210058d8ded0f1050e12</v>
      </c>
      <c r="F145" s="5" t="s">
        <v>144</v>
      </c>
      <c r="G145" s="5" t="str" cm="1">
        <f t="array" ref="G145">INDEX('Codigos Categorias'!$C:$C,MATCH(F$1&amp;F145,'Codigos Categorias'!$A:$A&amp;'Codigos Categorias'!$B:$B,0))</f>
        <v>%ea30dfeddbf2801c22b9e7ba489619a2</v>
      </c>
      <c r="H145" s="5" t="s">
        <v>574</v>
      </c>
      <c r="I145" s="5" t="str" cm="1">
        <f t="array" ref="I145">INDEX('Codigos Categorias'!$C:$C,MATCH(H$1&amp;H145,'Codigos Categorias'!$A:$A&amp;'Codigos Categorias'!$B:$B,0))</f>
        <v>%09509f21db36801c22b9e7ba489619a0</v>
      </c>
      <c r="K145" s="5" t="s">
        <v>901</v>
      </c>
      <c r="L145" s="5" t="s">
        <v>902</v>
      </c>
      <c r="M145" s="10" t="str" cm="1">
        <f t="array" ref="M145">INDEX('Data Points padrão'!$D:$D,MATCH(D145&amp;F145&amp;H145,'Data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45" s="5" t="s">
        <v>49</v>
      </c>
    </row>
    <row r="146" spans="1:14" x14ac:dyDescent="0.3">
      <c r="A146" s="5">
        <v>5</v>
      </c>
      <c r="B146" s="5" t="s">
        <v>905</v>
      </c>
      <c r="D146" s="5" t="s">
        <v>15</v>
      </c>
      <c r="E146" s="5" t="str" cm="1">
        <f t="array" ref="E146">INDEX('Codigos Categorias'!$C:$C,MATCH(D$1&amp;D146,'Codigos Categorias'!$A:$A&amp;'Codigos Categorias'!$B:$B,0))</f>
        <v>%93f2c6640f26210058d8ded0f1050e12</v>
      </c>
      <c r="F146" s="5" t="s">
        <v>16</v>
      </c>
      <c r="G146" s="5" t="str" cm="1">
        <f t="array" ref="G146">INDEX('Codigos Categorias'!$C:$C,MATCH(F$1&amp;F146,'Codigos Categorias'!$A:$A&amp;'Codigos Categorias'!$B:$B,0))</f>
        <v>%a3f2c6640f26210058d8ded0f1050e1b</v>
      </c>
      <c r="H146" s="5" t="s">
        <v>55</v>
      </c>
      <c r="I146" s="5" t="str" cm="1">
        <f t="array" ref="I146">INDEX('Codigos Categorias'!$C:$C,MATCH(H$1&amp;H146,'Codigos Categorias'!$A:$A&amp;'Codigos Categorias'!$B:$B,0))</f>
        <v>%1f04636bdbd83b007f4f5b06ca96196a</v>
      </c>
      <c r="K146" s="5" t="s">
        <v>905</v>
      </c>
      <c r="L146" s="5" t="s">
        <v>906</v>
      </c>
      <c r="M146" s="10" t="str" cm="1">
        <f t="array" ref="M146">INDEX('Data Points padrão'!$D:$D,MATCH(D146&amp;F146&amp;H146,'Data Points padrão'!$A:$A&amp;'Data Points padrão'!$B:$B&amp;'Data Points padrão'!$C:$C,0))</f>
        <v>IMPORTANT: DO NOT DELETE ANY TEXT BELOW, JUST ADD RELEVANT ANSWERS !!!
I - Fill in ONLY if Issue is SOLVED directly &amp; no dispatch of the ticket is needed (otherwise go to point II):
Confirm with "YES" that:
-&gt; followed Knowledge Article is ATTACHED to the Ticket: 
-&gt; User confirmed Issue is solved:
************************************************************************************************************************************************************
II - Fill in ONLY if Issue is NOT SOLVED &amp; ticket needs to be dispatched (Otherwise skip): 
BASIC DATA FOR ANY OFFICE DESKTOP APP related issues (ALWAYS fill in first)
Office version:
Error Message:
Troubleshooting done:
Confirm with "YES" that followed Knowledge Article is ATTACHED to the Ticket:  No
***********************************************</v>
      </c>
      <c r="N146" s="5" t="s">
        <v>49</v>
      </c>
    </row>
    <row r="147" spans="1:14" x14ac:dyDescent="0.3">
      <c r="A147" s="5">
        <v>1</v>
      </c>
      <c r="B147" s="5" t="s">
        <v>910</v>
      </c>
      <c r="D147" s="5" t="s">
        <v>59</v>
      </c>
      <c r="E147" s="5" t="str" cm="1">
        <f t="array" ref="E147">INDEX('Codigos Categorias'!$C:$C,MATCH(D$1&amp;D147,'Codigos Categorias'!$A:$A&amp;'Codigos Categorias'!$B:$B,0))</f>
        <v>%dff2c6640f26210058d8ded0f1050e12</v>
      </c>
      <c r="F147" s="5" t="s">
        <v>627</v>
      </c>
      <c r="G147" s="5" t="str" cm="1">
        <f t="array" ref="G147">INDEX('Codigos Categorias'!$C:$C,MATCH(F$1&amp;F147,'Codigos Categorias'!$A:$A&amp;'Codigos Categorias'!$B:$B,0))</f>
        <v>%1ff2c6640f26210058d8ded0f1050e14</v>
      </c>
      <c r="H147" s="5" t="s">
        <v>835</v>
      </c>
      <c r="I147" s="5" t="str" cm="1">
        <f t="array" ref="I147">INDEX('Codigos Categorias'!$C:$C,MATCH(H$1&amp;H147,'Codigos Categorias'!$A:$A&amp;'Codigos Categorias'!$B:$B,0))</f>
        <v>%9ff2c6640f26210058d8ded0f1050e14</v>
      </c>
      <c r="K147" s="5" t="s">
        <v>907</v>
      </c>
      <c r="L147" s="5" t="s">
        <v>908</v>
      </c>
      <c r="M147" s="10" t="e" cm="1">
        <f t="array" ref="M147">INDEX('Data Points padrão'!$D:$D,MATCH(D147&amp;F147&amp;H147,'Data Points padrão'!$A:$A&amp;'Data Points padrão'!$B:$B&amp;'Data Points padrão'!$C:$C,0))</f>
        <v>#N/A</v>
      </c>
      <c r="N147" s="5" t="s">
        <v>49</v>
      </c>
    </row>
    <row r="148" spans="1:14" x14ac:dyDescent="0.3">
      <c r="A148" s="5">
        <v>3</v>
      </c>
      <c r="B148" s="5" t="s">
        <v>911</v>
      </c>
      <c r="D148" s="5" t="s">
        <v>15</v>
      </c>
      <c r="E148" s="5" t="str" cm="1">
        <f t="array" ref="E148">INDEX('Codigos Categorias'!$C:$C,MATCH(D$1&amp;D148,'Codigos Categorias'!$A:$A&amp;'Codigos Categorias'!$B:$B,0))</f>
        <v>%93f2c6640f26210058d8ded0f1050e12</v>
      </c>
      <c r="F148" s="5" t="s">
        <v>16</v>
      </c>
      <c r="G148" s="5" t="str" cm="1">
        <f t="array" ref="G148">INDEX('Codigos Categorias'!$C:$C,MATCH(F$1&amp;F148,'Codigos Categorias'!$A:$A&amp;'Codigos Categorias'!$B:$B,0))</f>
        <v>%a3f2c6640f26210058d8ded0f1050e1b</v>
      </c>
      <c r="H148" s="5" t="s">
        <v>102</v>
      </c>
      <c r="I148" s="5" t="str" cm="1">
        <f t="array" ref="I148">INDEX('Codigos Categorias'!$C:$C,MATCH(H$1&amp;H148,'Codigos Categorias'!$A:$A&amp;'Codigos Categorias'!$B:$B,0))</f>
        <v>%111e9a3c0f9e82006bdcb47ce1050e03</v>
      </c>
      <c r="K148" s="5" t="s">
        <v>911</v>
      </c>
      <c r="L148" s="5" t="s">
        <v>912</v>
      </c>
      <c r="M148" s="10" t="str" cm="1">
        <f t="array" ref="M148">INDEX('Data Points padrão'!$D:$D,MATCH(D148&amp;F148&amp;H148,'Data Points padrão'!$A:$A&amp;'Data Points padrão'!$B:$B&amp;'Data Points padrão'!$C:$C,0))</f>
        <v>Affected Software: mentioned above</v>
      </c>
      <c r="N148" s="5" t="s">
        <v>49</v>
      </c>
    </row>
    <row r="149" spans="1:14" x14ac:dyDescent="0.3">
      <c r="A149" s="5">
        <v>1</v>
      </c>
      <c r="B149" s="5" t="s">
        <v>917</v>
      </c>
      <c r="D149" s="5" t="s">
        <v>15</v>
      </c>
      <c r="E149" s="5" t="str" cm="1">
        <f t="array" ref="E149">INDEX('Codigos Categorias'!$C:$C,MATCH(D$1&amp;D149,'Codigos Categorias'!$A:$A&amp;'Codigos Categorias'!$B:$B,0))</f>
        <v>%93f2c6640f26210058d8ded0f1050e12</v>
      </c>
      <c r="F149" s="5" t="s">
        <v>16</v>
      </c>
      <c r="G149" s="5" t="str" cm="1">
        <f t="array" ref="G149">INDEX('Codigos Categorias'!$C:$C,MATCH(F$1&amp;F149,'Codigos Categorias'!$A:$A&amp;'Codigos Categorias'!$B:$B,0))</f>
        <v>%a3f2c6640f26210058d8ded0f1050e1b</v>
      </c>
      <c r="H149" s="5" t="s">
        <v>102</v>
      </c>
      <c r="I149" s="5" t="str" cm="1">
        <f t="array" ref="I149">INDEX('Codigos Categorias'!$C:$C,MATCH(H$1&amp;H149,'Codigos Categorias'!$A:$A&amp;'Codigos Categorias'!$B:$B,0))</f>
        <v>%111e9a3c0f9e82006bdcb47ce1050e03</v>
      </c>
      <c r="K149" s="5" t="s">
        <v>917</v>
      </c>
      <c r="L149" s="5" t="s">
        <v>918</v>
      </c>
      <c r="M149" s="10" t="str" cm="1">
        <f t="array" ref="M149">INDEX('Data Points padrão'!$D:$D,MATCH(D149&amp;F149&amp;H149,'Data Points padrão'!$A:$A&amp;'Data Points padrão'!$B:$B&amp;'Data Points padrão'!$C:$C,0))</f>
        <v>Affected Software: mentioned above</v>
      </c>
      <c r="N149" s="5" t="s">
        <v>49</v>
      </c>
    </row>
    <row r="150" spans="1:14" x14ac:dyDescent="0.3">
      <c r="A150" s="5">
        <v>2</v>
      </c>
      <c r="B150" s="5" t="s">
        <v>924</v>
      </c>
      <c r="D150" s="5" t="s">
        <v>15</v>
      </c>
      <c r="E150" s="5" t="str" cm="1">
        <f t="array" ref="E150">INDEX('Codigos Categorias'!$C:$C,MATCH(D$1&amp;D150,'Codigos Categorias'!$A:$A&amp;'Codigos Categorias'!$B:$B,0))</f>
        <v>%93f2c6640f26210058d8ded0f1050e12</v>
      </c>
      <c r="F150" s="5" t="s">
        <v>16</v>
      </c>
      <c r="G150" s="5" t="str" cm="1">
        <f t="array" ref="G150">INDEX('Codigos Categorias'!$C:$C,MATCH(F$1&amp;F150,'Codigos Categorias'!$A:$A&amp;'Codigos Categorias'!$B:$B,0))</f>
        <v>%a3f2c6640f26210058d8ded0f1050e1b</v>
      </c>
      <c r="H150" s="5" t="s">
        <v>102</v>
      </c>
      <c r="I150" s="5" t="str" cm="1">
        <f t="array" ref="I150">INDEX('Codigos Categorias'!$C:$C,MATCH(H$1&amp;H150,'Codigos Categorias'!$A:$A&amp;'Codigos Categorias'!$B:$B,0))</f>
        <v>%111e9a3c0f9e82006bdcb47ce1050e03</v>
      </c>
      <c r="K150" s="5" t="s">
        <v>925</v>
      </c>
      <c r="L150" s="5" t="s">
        <v>923</v>
      </c>
      <c r="M150" s="10" t="str" cm="1">
        <f t="array" ref="M150">INDEX('Data Points padrão'!$D:$D,MATCH(D150&amp;F150&amp;H150,'Data Points padrão'!$A:$A&amp;'Data Points padrão'!$B:$B&amp;'Data Points padrão'!$C:$C,0))</f>
        <v>Affected Software: mentioned above</v>
      </c>
      <c r="N150" s="5" t="s">
        <v>85</v>
      </c>
    </row>
    <row r="151" spans="1:14" x14ac:dyDescent="0.3">
      <c r="A151" s="5">
        <v>1</v>
      </c>
      <c r="B151" s="5" t="s">
        <v>931</v>
      </c>
      <c r="D151" s="13" t="s">
        <v>23</v>
      </c>
      <c r="E151" s="5" t="str" cm="1">
        <f t="array" ref="E151">INDEX('Codigos Categorias'!$C:$C,MATCH(D$1&amp;D151,'Codigos Categorias'!$A:$A&amp;'Codigos Categorias'!$B:$B,0))</f>
        <v>%aff2c6640f26210058d8ded0f1050e18</v>
      </c>
      <c r="F151" s="5" t="s">
        <v>932</v>
      </c>
      <c r="G151" s="5" t="str" cm="1">
        <f t="array" ref="G151">INDEX('Codigos Categorias'!$C:$C,MATCH(F$1&amp;F151,'Codigos Categorias'!$A:$A&amp;'Codigos Categorias'!$B:$B,0))</f>
        <v>%23f2c6640f26210058d8ded0f1050e19</v>
      </c>
      <c r="H151" s="5" t="s">
        <v>933</v>
      </c>
      <c r="I151" s="5" t="str" cm="1">
        <f t="array" ref="I151">INDEX('Codigos Categorias'!$C:$C,MATCH(H$1&amp;H151,'Codigos Categorias'!$A:$A&amp;'Codigos Categorias'!$B:$B,0))</f>
        <v>%67f2c6640f26210058d8ded0f1050e19</v>
      </c>
      <c r="K151" s="5" t="s">
        <v>931</v>
      </c>
      <c r="L151" s="5" t="s">
        <v>936</v>
      </c>
      <c r="M151" s="10" t="e" cm="1">
        <f t="array" ref="M151">INDEX('Data Points padrão'!$D:$D,MATCH(D151&amp;F151&amp;H151,'Data Points padrão'!$A:$A&amp;'Data Points padrão'!$B:$B&amp;'Data Points padrão'!$C:$C,0))</f>
        <v>#N/A</v>
      </c>
      <c r="N151" s="5" t="s">
        <v>49</v>
      </c>
    </row>
    <row r="152" spans="1:14" x14ac:dyDescent="0.3">
      <c r="A152" s="5">
        <v>2</v>
      </c>
      <c r="B152" s="5" t="s">
        <v>937</v>
      </c>
      <c r="D152" s="5" t="s">
        <v>59</v>
      </c>
      <c r="E152" s="5" t="str" cm="1">
        <f t="array" ref="E152">INDEX('Codigos Categorias'!$C:$C,MATCH(D$1&amp;D152,'Codigos Categorias'!$A:$A&amp;'Codigos Categorias'!$B:$B,0))</f>
        <v>%dff2c6640f26210058d8ded0f1050e12</v>
      </c>
      <c r="F152" s="5" t="s">
        <v>144</v>
      </c>
      <c r="G152" s="5" t="str" cm="1">
        <f t="array" ref="G152">INDEX('Codigos Categorias'!$C:$C,MATCH(F$1&amp;F152,'Codigos Categorias'!$A:$A&amp;'Codigos Categorias'!$B:$B,0))</f>
        <v>%ea30dfeddbf2801c22b9e7ba489619a2</v>
      </c>
      <c r="H152" s="5" t="s">
        <v>940</v>
      </c>
      <c r="I152" s="5" t="str" cm="1">
        <f t="array" ref="I152">INDEX('Codigos Categorias'!$C:$C,MATCH(H$1&amp;H152,'Codigos Categorias'!$A:$A&amp;'Codigos Categorias'!$B:$B,0))</f>
        <v>%ab305321db36801c22b9e7ba4896199b</v>
      </c>
      <c r="K152" s="5" t="s">
        <v>937</v>
      </c>
      <c r="L152" s="5" t="s">
        <v>938</v>
      </c>
      <c r="M152" s="10" t="str" cm="1">
        <f t="array" ref="M152">INDEX('Data Points padrão'!$D:$D,MATCH(D152&amp;F152&amp;H152,'Data Points padrão'!$A:$A&amp;'Data Points padrão'!$B:$B&amp;'Data Points padrão'!$C:$C,0))</f>
        <v xml:space="preserve">IMPORTANT: DO NOT DELETE ANY TEXT BELOW, JUST ADD RELEVANT ANSWERS !!!
Is it working from OWA? (YES/NO):
Affected e-mail/s or mailboxes:
OS Version, see KB0130614:
Outlook Version, see KB0019722:
Type of Network connection (e.g. Office LAN, Home Office): all
</v>
      </c>
      <c r="N152" s="5" t="s">
        <v>85</v>
      </c>
    </row>
    <row r="153" spans="1:14" x14ac:dyDescent="0.3">
      <c r="A153" s="5">
        <v>1</v>
      </c>
      <c r="B153" s="5" t="s">
        <v>943</v>
      </c>
      <c r="D153" s="5" t="s">
        <v>44</v>
      </c>
      <c r="E153" s="5" t="str" cm="1">
        <f t="array" ref="E153">INDEX('Codigos Categorias'!$C:$C,MATCH(D$1&amp;D153,'Codigos Categorias'!$A:$A&amp;'Codigos Categorias'!$B:$B,0))</f>
        <v>%e7f2c6640f26210058d8ded0f1050e18</v>
      </c>
      <c r="F153" s="5" t="s">
        <v>45</v>
      </c>
      <c r="G153" s="5" t="str" cm="1">
        <f t="array" ref="G153">INDEX('Codigos Categorias'!$C:$C,MATCH(F$1&amp;F153,'Codigos Categorias'!$A:$A&amp;'Codigos Categorias'!$B:$B,0))</f>
        <v>%6ff2c6640f26210058d8ded0f1050e18</v>
      </c>
      <c r="H153" s="5" t="s">
        <v>46</v>
      </c>
      <c r="I153" s="5" t="str" cm="1">
        <f t="array" ref="I153">INDEX('Codigos Categorias'!$C:$C,MATCH(H$1&amp;H153,'Codigos Categorias'!$A:$A&amp;'Codigos Categorias'!$B:$B,0))</f>
        <v>%790cd201dbdf73808f71e6ab0b961996</v>
      </c>
      <c r="K153" s="5" t="s">
        <v>943</v>
      </c>
      <c r="L153" s="5" t="s">
        <v>944</v>
      </c>
      <c r="M153" s="10" t="e" cm="1">
        <f t="array" ref="M153">INDEX('Data Points padrão'!$D:$D,MATCH(D153&amp;F153&amp;H153,'Data Points padrão'!$A:$A&amp;'Data Points padrão'!$B:$B&amp;'Data Points padrão'!$C:$C,0))</f>
        <v>#N/A</v>
      </c>
      <c r="N153" s="5" t="s">
        <v>49</v>
      </c>
    </row>
    <row r="154" spans="1:14" x14ac:dyDescent="0.3">
      <c r="A154" s="5">
        <v>1</v>
      </c>
      <c r="B154" s="5" t="s">
        <v>948</v>
      </c>
      <c r="D154" s="5" t="s">
        <v>23</v>
      </c>
      <c r="E154" s="5" t="str" cm="1">
        <f t="array" ref="E154">INDEX('Codigos Categorias'!$C:$C,MATCH(D$1&amp;D154,'Codigos Categorias'!$A:$A&amp;'Codigos Categorias'!$B:$B,0))</f>
        <v>%aff2c6640f26210058d8ded0f1050e18</v>
      </c>
      <c r="F154" s="5" t="s">
        <v>24</v>
      </c>
      <c r="G154" s="5" t="str" cm="1">
        <f t="array" ref="G154">INDEX('Codigos Categorias'!$C:$C,MATCH(F$1&amp;F154,'Codigos Categorias'!$A:$A&amp;'Codigos Categorias'!$B:$B,0))</f>
        <v>%b1e171520ff1b204fc37ded0f1050eae</v>
      </c>
      <c r="H154" s="5" t="s">
        <v>87</v>
      </c>
      <c r="I154" s="5" t="str" cm="1">
        <f t="array" ref="I154">INDEX('Codigos Categorias'!$C:$C,MATCH(H$1&amp;H154,'Codigos Categorias'!$A:$A&amp;'Codigos Categorias'!$B:$B,0))</f>
        <v>%67ed23bddbda2fc01523e6ab0b96195d</v>
      </c>
      <c r="K154" s="5" t="s">
        <v>948</v>
      </c>
      <c r="L154" s="5" t="s">
        <v>949</v>
      </c>
      <c r="M154" s="10" t="str" cm="1">
        <f t="array" ref="M154">INDEX('Data Points padrão'!$D:$D,MATCH(D154&amp;F154&amp;H154,'Data Points padrão'!$A:$A&amp;'Data Points padrão'!$B:$B&amp;'Data Points padrão'!$C:$C,0))</f>
        <v>IMPORTANT: DO NOT DELETE ANY TEXT BELOW, JUST ADD RELEVANT ANSWERS!!!
Fill in ONLY if Issue is NOT SOLVED &amp; ticket needs to be dispatched (Otherwise skip): 
UCMS logfile attached, see KB0014119? (YES/NO): no</v>
      </c>
      <c r="N154" s="5" t="s">
        <v>85</v>
      </c>
    </row>
    <row r="155" spans="1:14" x14ac:dyDescent="0.3">
      <c r="A155" s="5">
        <v>1</v>
      </c>
      <c r="B155" s="5" t="s">
        <v>952</v>
      </c>
      <c r="D155" s="5" t="s">
        <v>59</v>
      </c>
      <c r="E155" s="5" t="str" cm="1">
        <f t="array" ref="E155">INDEX('Codigos Categorias'!$C:$C,MATCH(D$1&amp;D155,'Codigos Categorias'!$A:$A&amp;'Codigos Categorias'!$B:$B,0))</f>
        <v>%dff2c6640f26210058d8ded0f1050e12</v>
      </c>
      <c r="F155" s="5" t="s">
        <v>956</v>
      </c>
      <c r="G155" s="5" t="str" cm="1">
        <f t="array" ref="G155">INDEX('Codigos Categorias'!$C:$C,MATCH(F$1&amp;F155,'Codigos Categorias'!$A:$A&amp;'Codigos Categorias'!$B:$B,0))</f>
        <v>%9c67a8e9dbc4fbc0c408e6ab0b96191f</v>
      </c>
      <c r="H155" s="5" t="s">
        <v>955</v>
      </c>
      <c r="I155" s="5" t="str" cm="1">
        <f t="array" ref="I155">INDEX('Codigos Categorias'!$C:$C,MATCH(H$1&amp;H155,'Codigos Categorias'!$A:$A&amp;'Codigos Categorias'!$B:$B,0))</f>
        <v>%5a418c0adb11d4100b68772b689619d6</v>
      </c>
      <c r="K155" s="5" t="s">
        <v>952</v>
      </c>
      <c r="L155" s="5" t="s">
        <v>957</v>
      </c>
      <c r="M155" s="10" t="e" cm="1">
        <f t="array" ref="M155">INDEX('Data Points padrão'!$D:$D,MATCH(D155&amp;F155&amp;H155,'Data Points padrão'!$A:$A&amp;'Data Points padrão'!$B:$B&amp;'Data Points padrão'!$C:$C,0))</f>
        <v>#N/A</v>
      </c>
      <c r="N155" s="5" t="s">
        <v>49</v>
      </c>
    </row>
    <row r="156" spans="1:14" x14ac:dyDescent="0.3">
      <c r="A156" s="5">
        <v>1</v>
      </c>
      <c r="B156" s="5" t="s">
        <v>958</v>
      </c>
      <c r="D156" s="5" t="s">
        <v>23</v>
      </c>
      <c r="E156" s="5" t="str" cm="1">
        <f t="array" ref="E156">INDEX('Codigos Categorias'!$C:$C,MATCH(D$1&amp;D156,'Codigos Categorias'!$A:$A&amp;'Codigos Categorias'!$B:$B,0))</f>
        <v>%aff2c6640f26210058d8ded0f1050e18</v>
      </c>
      <c r="F156" s="5" t="s">
        <v>24</v>
      </c>
      <c r="G156" s="5" t="str" cm="1">
        <f t="array" ref="G156">INDEX('Codigos Categorias'!$C:$C,MATCH(F$1&amp;F156,'Codigos Categorias'!$A:$A&amp;'Codigos Categorias'!$B:$B,0))</f>
        <v>%b1e171520ff1b204fc37ded0f1050eae</v>
      </c>
      <c r="H156" s="5" t="s">
        <v>87</v>
      </c>
      <c r="I156" s="5" t="str" cm="1">
        <f t="array" ref="I156">INDEX('Codigos Categorias'!$C:$C,MATCH(H$1&amp;H156,'Codigos Categorias'!$A:$A&amp;'Codigos Categorias'!$B:$B,0))</f>
        <v>%67ed23bddbda2fc01523e6ab0b96195d</v>
      </c>
      <c r="K156" s="5" t="s">
        <v>958</v>
      </c>
      <c r="L156" s="5" t="s">
        <v>960</v>
      </c>
      <c r="M156" s="10" t="str" cm="1">
        <f t="array" ref="M156">INDEX('Data Points padrão'!$D:$D,MATCH(D156&amp;F156&amp;H156,'Data Points padrão'!$A:$A&amp;'Data Points padrão'!$B:$B&amp;'Data Points padrão'!$C:$C,0))</f>
        <v>IMPORTANT: DO NOT DELETE ANY TEXT BELOW, JUST ADD RELEVANT ANSWERS!!!
Fill in ONLY if Issue is NOT SOLVED &amp; ticket needs to be dispatched (Otherwise skip): 
UCMS logfile attached, see KB0014119? (YES/NO): no</v>
      </c>
      <c r="N156" s="5" t="s">
        <v>49</v>
      </c>
    </row>
    <row r="157" spans="1:14" x14ac:dyDescent="0.3">
      <c r="A157" s="5">
        <v>1</v>
      </c>
      <c r="B157" s="5" t="s">
        <v>959</v>
      </c>
      <c r="D157" s="5" t="s">
        <v>23</v>
      </c>
      <c r="E157" s="5" t="str" cm="1">
        <f t="array" ref="E157">INDEX('Codigos Categorias'!$C:$C,MATCH(D$1&amp;D157,'Codigos Categorias'!$A:$A&amp;'Codigos Categorias'!$B:$B,0))</f>
        <v>%aff2c6640f26210058d8ded0f1050e18</v>
      </c>
      <c r="F157" s="5" t="s">
        <v>24</v>
      </c>
      <c r="G157" s="5" t="str" cm="1">
        <f t="array" ref="G157">INDEX('Codigos Categorias'!$C:$C,MATCH(F$1&amp;F157,'Codigos Categorias'!$A:$A&amp;'Codigos Categorias'!$B:$B,0))</f>
        <v>%b1e171520ff1b204fc37ded0f1050eae</v>
      </c>
      <c r="H157" s="5" t="s">
        <v>87</v>
      </c>
      <c r="I157" s="5" t="str" cm="1">
        <f t="array" ref="I157">INDEX('Codigos Categorias'!$C:$C,MATCH(H$1&amp;H157,'Codigos Categorias'!$A:$A&amp;'Codigos Categorias'!$B:$B,0))</f>
        <v>%67ed23bddbda2fc01523e6ab0b96195d</v>
      </c>
      <c r="K157" s="5" t="s">
        <v>959</v>
      </c>
      <c r="L157" s="5" t="s">
        <v>961</v>
      </c>
      <c r="M157" s="10" t="str" cm="1">
        <f t="array" ref="M157">INDEX('Data Points padrão'!$D:$D,MATCH(D157&amp;F157&amp;H157,'Data Points padrão'!$A:$A&amp;'Data Points padrão'!$B:$B&amp;'Data Points padrão'!$C:$C,0))</f>
        <v>IMPORTANT: DO NOT DELETE ANY TEXT BELOW, JUST ADD RELEVANT ANSWERS!!!
Fill in ONLY if Issue is NOT SOLVED &amp; ticket needs to be dispatched (Otherwise skip): 
UCMS logfile attached, see KB0014119? (YES/NO): no</v>
      </c>
      <c r="N157" s="5" t="s">
        <v>49</v>
      </c>
    </row>
    <row r="158" spans="1:14" x14ac:dyDescent="0.3">
      <c r="A158" s="5">
        <v>1</v>
      </c>
      <c r="B158" s="5" t="s">
        <v>962</v>
      </c>
      <c r="D158" s="5" t="s">
        <v>15</v>
      </c>
      <c r="E158" s="5" t="str" cm="1">
        <f t="array" ref="E158">INDEX('Codigos Categorias'!$C:$C,MATCH(D$1&amp;D158,'Codigos Categorias'!$A:$A&amp;'Codigos Categorias'!$B:$B,0))</f>
        <v>%93f2c6640f26210058d8ded0f1050e12</v>
      </c>
      <c r="F158" s="5" t="s">
        <v>16</v>
      </c>
      <c r="G158" s="5" t="str" cm="1">
        <f t="array" ref="G158">INDEX('Codigos Categorias'!$C:$C,MATCH(F$1&amp;F158,'Codigos Categorias'!$A:$A&amp;'Codigos Categorias'!$B:$B,0))</f>
        <v>%a3f2c6640f26210058d8ded0f1050e1b</v>
      </c>
      <c r="H158" s="5" t="s">
        <v>102</v>
      </c>
      <c r="I158" s="5" t="str" cm="1">
        <f t="array" ref="I158">INDEX('Codigos Categorias'!$C:$C,MATCH(H$1&amp;H158,'Codigos Categorias'!$A:$A&amp;'Codigos Categorias'!$B:$B,0))</f>
        <v>%111e9a3c0f9e82006bdcb47ce1050e03</v>
      </c>
      <c r="K158" s="5" t="s">
        <v>962</v>
      </c>
      <c r="L158" s="5" t="s">
        <v>963</v>
      </c>
      <c r="M158" s="10" t="str" cm="1">
        <f t="array" ref="M158">INDEX('Data Points padrão'!$D:$D,MATCH(D158&amp;F158&amp;H158,'Data Points padrão'!$A:$A&amp;'Data Points padrão'!$B:$B&amp;'Data Points padrão'!$C:$C,0))</f>
        <v>Affected Software: mentioned above</v>
      </c>
      <c r="N158" s="5" t="s">
        <v>85</v>
      </c>
    </row>
    <row r="159" spans="1:14" x14ac:dyDescent="0.3">
      <c r="A159" s="5">
        <v>1</v>
      </c>
      <c r="B159" s="5" t="s">
        <v>966</v>
      </c>
      <c r="D159" s="5" t="s">
        <v>15</v>
      </c>
      <c r="E159" s="5" t="str" cm="1">
        <f t="array" ref="E159">INDEX('Codigos Categorias'!$C:$C,MATCH(D$1&amp;D159,'Codigos Categorias'!$A:$A&amp;'Codigos Categorias'!$B:$B,0))</f>
        <v>%93f2c6640f26210058d8ded0f1050e12</v>
      </c>
      <c r="F159" s="5" t="s">
        <v>16</v>
      </c>
      <c r="G159" s="5" t="str" cm="1">
        <f t="array" ref="G159">INDEX('Codigos Categorias'!$C:$C,MATCH(F$1&amp;F159,'Codigos Categorias'!$A:$A&amp;'Codigos Categorias'!$B:$B,0))</f>
        <v>%a3f2c6640f26210058d8ded0f1050e1b</v>
      </c>
      <c r="H159" s="5" t="s">
        <v>102</v>
      </c>
      <c r="I159" s="5" t="str" cm="1">
        <f t="array" ref="I159">INDEX('Codigos Categorias'!$C:$C,MATCH(H$1&amp;H159,'Codigos Categorias'!$A:$A&amp;'Codigos Categorias'!$B:$B,0))</f>
        <v>%111e9a3c0f9e82006bdcb47ce1050e03</v>
      </c>
      <c r="K159" s="5" t="s">
        <v>966</v>
      </c>
      <c r="L159" s="5" t="s">
        <v>967</v>
      </c>
      <c r="M159" s="10" t="str" cm="1">
        <f t="array" ref="M159">INDEX('Data Points padrão'!$D:$D,MATCH(D159&amp;F159&amp;H159,'Data Points padrão'!$A:$A&amp;'Data Points padrão'!$B:$B&amp;'Data Points padrão'!$C:$C,0))</f>
        <v>Affected Software: mentioned above</v>
      </c>
      <c r="N159" s="5" t="s">
        <v>49</v>
      </c>
    </row>
    <row r="160" spans="1:14" x14ac:dyDescent="0.3">
      <c r="A160" s="5">
        <v>1</v>
      </c>
      <c r="B160" s="5" t="s">
        <v>970</v>
      </c>
      <c r="D160" s="5" t="s">
        <v>15</v>
      </c>
      <c r="E160" s="5" t="str" cm="1">
        <f t="array" ref="E160">INDEX('Codigos Categorias'!$C:$C,MATCH(D$1&amp;D160,'Codigos Categorias'!$A:$A&amp;'Codigos Categorias'!$B:$B,0))</f>
        <v>%93f2c6640f26210058d8ded0f1050e12</v>
      </c>
      <c r="F160" s="5" t="s">
        <v>16</v>
      </c>
      <c r="G160" s="5" t="str" cm="1">
        <f t="array" ref="G160">INDEX('Codigos Categorias'!$C:$C,MATCH(F$1&amp;F160,'Codigos Categorias'!$A:$A&amp;'Codigos Categorias'!$B:$B,0))</f>
        <v>%a3f2c6640f26210058d8ded0f1050e1b</v>
      </c>
      <c r="H160" s="5" t="s">
        <v>102</v>
      </c>
      <c r="I160" s="5" t="str" cm="1">
        <f t="array" ref="I160">INDEX('Codigos Categorias'!$C:$C,MATCH(H$1&amp;H160,'Codigos Categorias'!$A:$A&amp;'Codigos Categorias'!$B:$B,0))</f>
        <v>%111e9a3c0f9e82006bdcb47ce1050e03</v>
      </c>
      <c r="K160" s="5" t="s">
        <v>970</v>
      </c>
      <c r="L160" s="5" t="s">
        <v>971</v>
      </c>
      <c r="M160" s="10" t="str" cm="1">
        <f t="array" ref="M160">INDEX('Data Points padrão'!$D:$D,MATCH(D160&amp;F160&amp;H160,'Data Points padrão'!$A:$A&amp;'Data Points padrão'!$B:$B&amp;'Data Points padrão'!$C:$C,0))</f>
        <v>Affected Software: mentioned above</v>
      </c>
      <c r="N160" s="5" t="s">
        <v>49</v>
      </c>
    </row>
    <row r="161" spans="1:14" x14ac:dyDescent="0.3">
      <c r="A161" s="5">
        <v>1</v>
      </c>
      <c r="B161" s="5" t="s">
        <v>974</v>
      </c>
      <c r="D161" s="5" t="s">
        <v>59</v>
      </c>
      <c r="E161" s="5" t="str" cm="1">
        <f t="array" ref="E161">INDEX('Codigos Categorias'!$C:$C,MATCH(D$1&amp;D161,'Codigos Categorias'!$A:$A&amp;'Codigos Categorias'!$B:$B,0))</f>
        <v>%dff2c6640f26210058d8ded0f1050e12</v>
      </c>
      <c r="F161" s="5" t="s">
        <v>144</v>
      </c>
      <c r="G161" s="5" t="str" cm="1">
        <f t="array" ref="G161">INDEX('Codigos Categorias'!$C:$C,MATCH(F$1&amp;F161,'Codigos Categorias'!$A:$A&amp;'Codigos Categorias'!$B:$B,0))</f>
        <v>%ea30dfeddbf2801c22b9e7ba489619a2</v>
      </c>
      <c r="H161" s="5" t="s">
        <v>976</v>
      </c>
      <c r="I161" s="5" t="str" cm="1">
        <f t="array" ref="I161">INDEX('Codigos Categorias'!$C:$C,MATCH(H$1&amp;H161,'Codigos Categorias'!$A:$A&amp;'Codigos Categorias'!$B:$B,0))</f>
        <v>%c4409321db36801c22b9e7ba4896195e</v>
      </c>
      <c r="K161" s="5" t="s">
        <v>974</v>
      </c>
      <c r="L161" s="5" t="s">
        <v>975</v>
      </c>
      <c r="M161" s="10" t="str" cm="1">
        <f t="array" ref="M161">INDEX('Data Points padrão'!$D:$D,MATCH(D161&amp;F161&amp;H161,'Data Points padrão'!$A:$A&amp;'Data Points padrão'!$B:$B&amp;'Data Points padrão'!$C:$C,0))</f>
        <v xml:space="preserve">IMPORTANT: DO NOT DELETE ANY TEXT BELOW, JUST ADD RELEVANT ANSWERS !!!
Is it working from OWA? (YES/NO):
Affected e-mail/s or mailboxes:
OS Version, see KB0130614:
Outlook Version, see KB0019722:
Type of Network connection (e.g. Office LAN, Home Office): all
</v>
      </c>
      <c r="N161" s="5" t="s">
        <v>49</v>
      </c>
    </row>
    <row r="162" spans="1:14" x14ac:dyDescent="0.3">
      <c r="A162" s="5">
        <v>1</v>
      </c>
      <c r="B162" s="5" t="s">
        <v>978</v>
      </c>
      <c r="D162" s="5" t="s">
        <v>59</v>
      </c>
      <c r="E162" s="5" t="str" cm="1">
        <f t="array" ref="E162">INDEX('Codigos Categorias'!$C:$C,MATCH(D$1&amp;D162,'Codigos Categorias'!$A:$A&amp;'Codigos Categorias'!$B:$B,0))</f>
        <v>%dff2c6640f26210058d8ded0f1050e12</v>
      </c>
      <c r="F162" s="5" t="s">
        <v>144</v>
      </c>
      <c r="G162" s="5" t="str" cm="1">
        <f t="array" ref="G162">INDEX('Codigos Categorias'!$C:$C,MATCH(F$1&amp;F162,'Codigos Categorias'!$A:$A&amp;'Codigos Categorias'!$B:$B,0))</f>
        <v>%ea30dfeddbf2801c22b9e7ba489619a2</v>
      </c>
      <c r="H162" s="5" t="s">
        <v>231</v>
      </c>
      <c r="I162" s="5" t="str" cm="1">
        <f t="array" ref="I162">INDEX('Codigos Categorias'!$C:$C,MATCH(H$1&amp;H162,'Codigos Categorias'!$A:$A&amp;'Codigos Categorias'!$B:$B,0))</f>
        <v>%36405b21db36801c22b9e7ba48961930</v>
      </c>
      <c r="K162" s="5" t="s">
        <v>979</v>
      </c>
      <c r="L162" s="5" t="s">
        <v>980</v>
      </c>
      <c r="M162" s="10" t="str" cm="1">
        <f t="array" ref="M162">INDEX('Data Points padrão'!$D:$D,MATCH(D162&amp;F162&amp;H162,'Data Points padrão'!$A:$A&amp;'Data Points padrão'!$B:$B&amp;'Data Points padrão'!$C:$C,0))</f>
        <v>IMPORTANT: DO NOT DELETE ANY TEXT BELOW, JUST ADD RELEVANT ANSWERS !!!
Is it working from OWA? (YES/NO):
Affected e-mail/s or mailboxes:
OS Version, see KB0130614: Windows 10
Outlook Version, see KB0019722:
Type of Network connection (e.g. Office LAN, Home Office): 
Event logs, see KB0016643:</v>
      </c>
      <c r="N162" s="5" t="s">
        <v>85</v>
      </c>
    </row>
    <row r="163" spans="1:14" x14ac:dyDescent="0.3">
      <c r="A163" s="5">
        <v>2</v>
      </c>
      <c r="B163" s="5" t="s">
        <v>981</v>
      </c>
      <c r="D163" s="5" t="s">
        <v>44</v>
      </c>
      <c r="E163" s="5" t="str" cm="1">
        <f t="array" ref="E163">INDEX('Codigos Categorias'!$C:$C,MATCH(D$1&amp;D163,'Codigos Categorias'!$A:$A&amp;'Codigos Categorias'!$B:$B,0))</f>
        <v>%e7f2c6640f26210058d8ded0f1050e18</v>
      </c>
      <c r="F163" s="5" t="s">
        <v>142</v>
      </c>
      <c r="G163" s="5" t="str" cm="1">
        <f t="array" ref="G163">INDEX('Codigos Categorias'!$C:$C,MATCH(F$1&amp;F163,'Codigos Categorias'!$A:$A&amp;'Codigos Categorias'!$B:$B,0))</f>
        <v>%559fb0dc0f927500bad9ded0f1050e9f</v>
      </c>
      <c r="H163" s="5" t="s">
        <v>624</v>
      </c>
      <c r="I163" s="5" t="str" cm="1">
        <f t="array" ref="I163">INDEX('Codigos Categorias'!$C:$C,MATCH(H$1&amp;H163,'Codigos Categorias'!$A:$A&amp;'Codigos Categorias'!$B:$B,0))</f>
        <v>%ebf2c6640f26210058d8ded0f1050e18</v>
      </c>
      <c r="K163" s="5" t="s">
        <v>982</v>
      </c>
      <c r="L163" s="5" t="s">
        <v>983</v>
      </c>
      <c r="M163" s="10" t="str" cm="1">
        <f t="array" ref="M163">INDEX('Data Points padrão'!$D:$D,MATCH(D163&amp;F163&amp;H163,'Data Points padrão'!$A:$A&amp;'Data Points padrão'!$B:$B&amp;'Data Points padrão'!$C:$C,0))</f>
        <v>IMPORTANT: DO NOT DELETE ANY TEXT BELOW, JUST ADD RELEVANT ANSWERS!!!
I - Fill in ONLY if Issue is SOLVED directly &amp; no dispatch of the ticket is needed (otherwise go to point II):
Confirm with "YES" that:
-&gt; followed Knowledge Article is ATTACHED to the ticket: 
-&gt; user confirmed issue is solved: yes
******************************************************************************************************
II - Fill in ONLY if Issue is NOT SOLVED &amp; ticket needs to be dispatched (otherwise skip):
-&gt; What is the error message? (if any):
-&gt; Confirm with "YES" that the relevant Knowledge Article is ATTACHED to the ticket: 
-&gt; Which troubleshooting step of the relevant KBA failed?</v>
      </c>
      <c r="N163" s="5" t="s">
        <v>49</v>
      </c>
    </row>
    <row r="164" spans="1:14" x14ac:dyDescent="0.3">
      <c r="A164" s="5">
        <v>1</v>
      </c>
      <c r="B164" s="5" t="s">
        <v>986</v>
      </c>
      <c r="D164" s="5" t="s">
        <v>15</v>
      </c>
      <c r="E164" s="5" t="str" cm="1">
        <f t="array" ref="E164">INDEX('Codigos Categorias'!$C:$C,MATCH(D$1&amp;D164,'Codigos Categorias'!$A:$A&amp;'Codigos Categorias'!$B:$B,0))</f>
        <v>%93f2c6640f26210058d8ded0f1050e12</v>
      </c>
      <c r="F164" s="5" t="s">
        <v>16</v>
      </c>
      <c r="G164" s="5" t="str" cm="1">
        <f t="array" ref="G164">INDEX('Codigos Categorias'!$C:$C,MATCH(F$1&amp;F164,'Codigos Categorias'!$A:$A&amp;'Codigos Categorias'!$B:$B,0))</f>
        <v>%a3f2c6640f26210058d8ded0f1050e1b</v>
      </c>
      <c r="H164" s="5" t="s">
        <v>102</v>
      </c>
      <c r="I164" s="5" t="str" cm="1">
        <f t="array" ref="I164">INDEX('Codigos Categorias'!$C:$C,MATCH(H$1&amp;H164,'Codigos Categorias'!$A:$A&amp;'Codigos Categorias'!$B:$B,0))</f>
        <v>%111e9a3c0f9e82006bdcb47ce1050e03</v>
      </c>
      <c r="K164" s="5" t="s">
        <v>986</v>
      </c>
      <c r="L164" s="5" t="s">
        <v>987</v>
      </c>
      <c r="M164" s="10" t="str" cm="1">
        <f t="array" ref="M164">INDEX('Data Points padrão'!$D:$D,MATCH(D164&amp;F164&amp;H164,'Data Points padrão'!$A:$A&amp;'Data Points padrão'!$B:$B&amp;'Data Points padrão'!$C:$C,0))</f>
        <v>Affected Software: mentioned above</v>
      </c>
      <c r="N164" s="5" t="s">
        <v>85</v>
      </c>
    </row>
    <row r="165" spans="1:14" x14ac:dyDescent="0.3">
      <c r="A165" s="5">
        <v>1</v>
      </c>
      <c r="B165" s="5" t="s">
        <v>992</v>
      </c>
      <c r="D165" s="5" t="s">
        <v>15</v>
      </c>
      <c r="E165" s="5" t="str" cm="1">
        <f t="array" ref="E165">INDEX('Codigos Categorias'!$C:$C,MATCH(D$1&amp;D165,'Codigos Categorias'!$A:$A&amp;'Codigos Categorias'!$B:$B,0))</f>
        <v>%93f2c6640f26210058d8ded0f1050e12</v>
      </c>
      <c r="F165" s="5" t="s">
        <v>16</v>
      </c>
      <c r="G165" s="5" t="str" cm="1">
        <f t="array" ref="G165">INDEX('Codigos Categorias'!$C:$C,MATCH(F$1&amp;F165,'Codigos Categorias'!$A:$A&amp;'Codigos Categorias'!$B:$B,0))</f>
        <v>%a3f2c6640f26210058d8ded0f1050e1b</v>
      </c>
      <c r="H165" s="5" t="s">
        <v>102</v>
      </c>
      <c r="I165" s="5" t="str" cm="1">
        <f t="array" ref="I165">INDEX('Codigos Categorias'!$C:$C,MATCH(H$1&amp;H165,'Codigos Categorias'!$A:$A&amp;'Codigos Categorias'!$B:$B,0))</f>
        <v>%111e9a3c0f9e82006bdcb47ce1050e03</v>
      </c>
      <c r="K165" s="5" t="s">
        <v>992</v>
      </c>
      <c r="L165" s="5" t="s">
        <v>993</v>
      </c>
      <c r="M165" s="10" t="str" cm="1">
        <f t="array" ref="M165">INDEX('Data Points padrão'!$D:$D,MATCH(D165&amp;F165&amp;H165,'Data Points padrão'!$A:$A&amp;'Data Points padrão'!$B:$B&amp;'Data Points padrão'!$C:$C,0))</f>
        <v>Affected Software: mentioned above</v>
      </c>
      <c r="N165" s="5" t="s">
        <v>85</v>
      </c>
    </row>
    <row r="166" spans="1:14" x14ac:dyDescent="0.3">
      <c r="A166" s="5">
        <v>2</v>
      </c>
      <c r="B166" s="5" t="s">
        <v>995</v>
      </c>
      <c r="D166" s="5" t="s">
        <v>23</v>
      </c>
      <c r="E166" s="5" t="str" cm="1">
        <f t="array" ref="E166">INDEX('Codigos Categorias'!$C:$C,MATCH(D$1&amp;D166,'Codigos Categorias'!$A:$A&amp;'Codigos Categorias'!$B:$B,0))</f>
        <v>%aff2c6640f26210058d8ded0f1050e18</v>
      </c>
      <c r="F166" s="5" t="s">
        <v>24</v>
      </c>
      <c r="G166" s="5" t="str" cm="1">
        <f t="array" ref="G166">INDEX('Codigos Categorias'!$C:$C,MATCH(F$1&amp;F166,'Codigos Categorias'!$A:$A&amp;'Codigos Categorias'!$B:$B,0))</f>
        <v>%b1e171520ff1b204fc37ded0f1050eae</v>
      </c>
      <c r="H166" s="5" t="s">
        <v>87</v>
      </c>
      <c r="I166" s="5" t="str" cm="1">
        <f t="array" ref="I166">INDEX('Codigos Categorias'!$C:$C,MATCH(H$1&amp;H166,'Codigos Categorias'!$A:$A&amp;'Codigos Categorias'!$B:$B,0))</f>
        <v>%67ed23bddbda2fc01523e6ab0b96195d</v>
      </c>
      <c r="K166" s="5" t="s">
        <v>995</v>
      </c>
      <c r="L166" s="5" t="s">
        <v>996</v>
      </c>
      <c r="M166" s="10" t="str" cm="1">
        <f t="array" ref="M166">INDEX('Data Points padrão'!$D:$D,MATCH(D166&amp;F166&amp;H166,'Data Points padrão'!$A:$A&amp;'Data Points padrão'!$B:$B&amp;'Data Points padrão'!$C:$C,0))</f>
        <v>IMPORTANT: DO NOT DELETE ANY TEXT BELOW, JUST ADD RELEVANT ANSWERS!!!
Fill in ONLY if Issue is NOT SOLVED &amp; ticket needs to be dispatched (Otherwise skip): 
UCMS logfile attached, see KB0014119? (YES/NO): no</v>
      </c>
      <c r="N166" s="5" t="s">
        <v>85</v>
      </c>
    </row>
    <row r="167" spans="1:14" x14ac:dyDescent="0.3">
      <c r="A167" s="5">
        <v>1</v>
      </c>
      <c r="B167" s="5" t="s">
        <v>997</v>
      </c>
      <c r="D167" s="5" t="s">
        <v>80</v>
      </c>
      <c r="E167" s="5" t="str" cm="1">
        <f t="array" ref="E167">INDEX('Codigos Categorias'!$C:$C,MATCH(D$1&amp;D167,'Codigos Categorias'!$A:$A&amp;'Codigos Categorias'!$B:$B,0))</f>
        <v>%13f2c6640f26210058d8ded0f1050e16</v>
      </c>
      <c r="F167" s="5" t="s">
        <v>93</v>
      </c>
      <c r="G167" s="5" t="str" cm="1">
        <f t="array" ref="G167">INDEX('Codigos Categorias'!$C:$C,MATCH(F$1&amp;F167,'Codigos Categorias'!$A:$A&amp;'Codigos Categorias'!$B:$B,0))</f>
        <v>%23f2c6640f26210058d8ded0f1050e17</v>
      </c>
      <c r="H167" s="5" t="s">
        <v>82</v>
      </c>
      <c r="I167" s="5" t="str" cm="1">
        <f t="array" ref="I167">INDEX('Codigos Categorias'!$C:$C,MATCH(H$1&amp;H167,'Codigos Categorias'!$A:$A&amp;'Codigos Categorias'!$B:$B,0))</f>
        <v>%17f2c6640f26210058d8ded0f1050e16</v>
      </c>
      <c r="K167" s="5" t="s">
        <v>997</v>
      </c>
      <c r="L167" s="5" t="s">
        <v>1000</v>
      </c>
      <c r="M167" s="10" t="e" cm="1">
        <f t="array" ref="M167">INDEX('Data Points padrão'!$D:$D,MATCH(D167&amp;F167&amp;H167,'Data Points padrão'!$A:$A&amp;'Data Points padrão'!$B:$B&amp;'Data Points padrão'!$C:$C,0))</f>
        <v>#N/A</v>
      </c>
      <c r="N167" s="5" t="s">
        <v>85</v>
      </c>
    </row>
    <row r="168" spans="1:14" x14ac:dyDescent="0.3">
      <c r="A168" s="5">
        <v>1</v>
      </c>
      <c r="B168" s="5" t="s">
        <v>1001</v>
      </c>
      <c r="D168" s="5" t="s">
        <v>15</v>
      </c>
      <c r="E168" s="5" t="str" cm="1">
        <f t="array" ref="E168">INDEX('Codigos Categorias'!$C:$C,MATCH(D$1&amp;D168,'Codigos Categorias'!$A:$A&amp;'Codigos Categorias'!$B:$B,0))</f>
        <v>%93f2c6640f26210058d8ded0f1050e12</v>
      </c>
      <c r="F168" s="5" t="s">
        <v>16</v>
      </c>
      <c r="G168" s="5" t="str" cm="1">
        <f t="array" ref="G168">INDEX('Codigos Categorias'!$C:$C,MATCH(F$1&amp;F168,'Codigos Categorias'!$A:$A&amp;'Codigos Categorias'!$B:$B,0))</f>
        <v>%a3f2c6640f26210058d8ded0f1050e1b</v>
      </c>
      <c r="H168" s="5" t="s">
        <v>102</v>
      </c>
      <c r="I168" s="5" t="str" cm="1">
        <f t="array" ref="I168">INDEX('Codigos Categorias'!$C:$C,MATCH(H$1&amp;H168,'Codigos Categorias'!$A:$A&amp;'Codigos Categorias'!$B:$B,0))</f>
        <v>%111e9a3c0f9e82006bdcb47ce1050e03</v>
      </c>
      <c r="K168" s="5" t="s">
        <v>1002</v>
      </c>
      <c r="L168" s="5" t="s">
        <v>1003</v>
      </c>
      <c r="M168" s="10" t="str" cm="1">
        <f t="array" ref="M168">INDEX('Data Points padrão'!$D:$D,MATCH(D168&amp;F168&amp;H168,'Data Points padrão'!$A:$A&amp;'Data Points padrão'!$B:$B&amp;'Data Points padrão'!$C:$C,0))</f>
        <v>Affected Software: mentioned above</v>
      </c>
      <c r="N168" s="5" t="s">
        <v>85</v>
      </c>
    </row>
    <row r="169" spans="1:14" x14ac:dyDescent="0.3">
      <c r="A169" s="5">
        <v>1</v>
      </c>
      <c r="B169" s="5" t="s">
        <v>1004</v>
      </c>
      <c r="D169" s="5" t="s">
        <v>15</v>
      </c>
      <c r="E169" s="5" t="str" cm="1">
        <f t="array" ref="E169">INDEX('Codigos Categorias'!$C:$C,MATCH(D$1&amp;D169,'Codigos Categorias'!$A:$A&amp;'Codigos Categorias'!$B:$B,0))</f>
        <v>%93f2c6640f26210058d8ded0f1050e12</v>
      </c>
      <c r="F169" s="5" t="s">
        <v>16</v>
      </c>
      <c r="G169" s="5" t="str" cm="1">
        <f t="array" ref="G169">INDEX('Codigos Categorias'!$C:$C,MATCH(F$1&amp;F169,'Codigos Categorias'!$A:$A&amp;'Codigos Categorias'!$B:$B,0))</f>
        <v>%a3f2c6640f26210058d8ded0f1050e1b</v>
      </c>
      <c r="H169" s="5" t="s">
        <v>102</v>
      </c>
      <c r="I169" s="5" t="str" cm="1">
        <f t="array" ref="I169">INDEX('Codigos Categorias'!$C:$C,MATCH(H$1&amp;H169,'Codigos Categorias'!$A:$A&amp;'Codigos Categorias'!$B:$B,0))</f>
        <v>%111e9a3c0f9e82006bdcb47ce1050e03</v>
      </c>
      <c r="K169" s="5" t="s">
        <v>1004</v>
      </c>
      <c r="L169" s="5" t="s">
        <v>1005</v>
      </c>
      <c r="M169" s="10" t="str" cm="1">
        <f t="array" ref="M169">INDEX('Data Points padrão'!$D:$D,MATCH(D169&amp;F169&amp;H169,'Data Points padrão'!$A:$A&amp;'Data Points padrão'!$B:$B&amp;'Data Points padrão'!$C:$C,0))</f>
        <v>Affected Software: mentioned above</v>
      </c>
      <c r="N169" s="5" t="s">
        <v>85</v>
      </c>
    </row>
    <row r="170" spans="1:14" x14ac:dyDescent="0.3">
      <c r="A170" s="5">
        <v>1</v>
      </c>
      <c r="B170" s="5" t="s">
        <v>1008</v>
      </c>
      <c r="D170" s="5" t="s">
        <v>15</v>
      </c>
      <c r="E170" s="5" t="str" cm="1">
        <f t="array" ref="E170">INDEX('Codigos Categorias'!$C:$C,MATCH(D$1&amp;D170,'Codigos Categorias'!$A:$A&amp;'Codigos Categorias'!$B:$B,0))</f>
        <v>%93f2c6640f26210058d8ded0f1050e12</v>
      </c>
      <c r="F170" s="5" t="s">
        <v>16</v>
      </c>
      <c r="G170" s="5" t="str" cm="1">
        <f t="array" ref="G170">INDEX('Codigos Categorias'!$C:$C,MATCH(F$1&amp;F170,'Codigos Categorias'!$A:$A&amp;'Codigos Categorias'!$B:$B,0))</f>
        <v>%a3f2c6640f26210058d8ded0f1050e1b</v>
      </c>
      <c r="H170" s="5" t="s">
        <v>102</v>
      </c>
      <c r="I170" s="5" t="str" cm="1">
        <f t="array" ref="I170">INDEX('Codigos Categorias'!$C:$C,MATCH(H$1&amp;H170,'Codigos Categorias'!$A:$A&amp;'Codigos Categorias'!$B:$B,0))</f>
        <v>%111e9a3c0f9e82006bdcb47ce1050e03</v>
      </c>
      <c r="K170" s="5" t="s">
        <v>1009</v>
      </c>
      <c r="L170" s="5" t="s">
        <v>1010</v>
      </c>
      <c r="M170" s="10" t="str" cm="1">
        <f t="array" ref="M170">INDEX('Data Points padrão'!$D:$D,MATCH(D170&amp;F170&amp;H170,'Data Points padrão'!$A:$A&amp;'Data Points padrão'!$B:$B&amp;'Data Points padrão'!$C:$C,0))</f>
        <v>Affected Software: mentioned above</v>
      </c>
      <c r="N170" s="5" t="s">
        <v>49</v>
      </c>
    </row>
    <row r="171" spans="1:14" x14ac:dyDescent="0.3">
      <c r="A171" s="5">
        <v>1</v>
      </c>
      <c r="B171" s="5" t="s">
        <v>1024</v>
      </c>
      <c r="D171" s="5" t="s">
        <v>23</v>
      </c>
      <c r="E171" s="5" t="str" cm="1">
        <f t="array" ref="E171">INDEX('Codigos Categorias'!$C:$C,MATCH(D$1&amp;D171,'Codigos Categorias'!$A:$A&amp;'Codigos Categorias'!$B:$B,0))</f>
        <v>%aff2c6640f26210058d8ded0f1050e18</v>
      </c>
      <c r="F171" s="5" t="s">
        <v>24</v>
      </c>
      <c r="G171" s="5" t="str" cm="1">
        <f t="array" ref="G171">INDEX('Codigos Categorias'!$C:$C,MATCH(F$1&amp;F171,'Codigos Categorias'!$A:$A&amp;'Codigos Categorias'!$B:$B,0))</f>
        <v>%b1e171520ff1b204fc37ded0f1050eae</v>
      </c>
      <c r="H171" s="5" t="s">
        <v>87</v>
      </c>
      <c r="I171" s="5" t="str" cm="1">
        <f t="array" ref="I171">INDEX('Codigos Categorias'!$C:$C,MATCH(H$1&amp;H171,'Codigos Categorias'!$A:$A&amp;'Codigos Categorias'!$B:$B,0))</f>
        <v>%67ed23bddbda2fc01523e6ab0b96195d</v>
      </c>
      <c r="K171" s="5" t="s">
        <v>1024</v>
      </c>
      <c r="L171" s="5" t="s">
        <v>1025</v>
      </c>
      <c r="M171" s="10" t="str" cm="1">
        <f t="array" ref="M171">INDEX('Data Points padrão'!$D:$D,MATCH(D171&amp;F171&amp;H171,'Data Points padrão'!$A:$A&amp;'Data Points padrão'!$B:$B&amp;'Data Points padrão'!$C:$C,0))</f>
        <v>IMPORTANT: DO NOT DELETE ANY TEXT BELOW, JUST ADD RELEVANT ANSWERS!!!
Fill in ONLY if Issue is NOT SOLVED &amp; ticket needs to be dispatched (Otherwise skip): 
UCMS logfile attached, see KB0014119? (YES/NO): no</v>
      </c>
      <c r="N171" s="5" t="s">
        <v>49</v>
      </c>
    </row>
  </sheetData>
  <conditionalFormatting sqref="D28:M28 N42 B1:M27 B28:B29 B32 B29:M29 B30:I30 K30:M30 D32:N32 B31:M31 N15 B33:M1048576">
    <cfRule type="colorScale" priority="2">
      <colorScale>
        <cfvo type="min"/>
        <cfvo type="percentile" val="50"/>
        <cfvo type="max"/>
        <color rgb="FF63BE7B"/>
        <color rgb="FFFFEB84"/>
        <color rgb="FFF8696B"/>
      </colorScale>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Abrir_chamado">
                <anchor moveWithCells="1" sizeWithCells="1">
                  <from>
                    <xdr:col>1</xdr:col>
                    <xdr:colOff>2049780</xdr:colOff>
                    <xdr:row>0</xdr:row>
                    <xdr:rowOff>38100</xdr:rowOff>
                  </from>
                  <to>
                    <xdr:col>1</xdr:col>
                    <xdr:colOff>2887980</xdr:colOff>
                    <xdr:row>0</xdr:row>
                    <xdr:rowOff>259080</xdr:rowOff>
                  </to>
                </anchor>
              </controlPr>
            </control>
          </mc:Choice>
        </mc:AlternateContent>
        <mc:AlternateContent xmlns:mc="http://schemas.openxmlformats.org/markup-compatibility/2006">
          <mc:Choice Requires="x14">
            <control shapeId="1032" r:id="rId5" name="Button 8">
              <controlPr defaultSize="0" print="0" autoFill="0" autoPict="0" macro="[0]!Cadastrar_Data_Points">
                <anchor moveWithCells="1" sizeWithCells="1">
                  <from>
                    <xdr:col>1</xdr:col>
                    <xdr:colOff>1295400</xdr:colOff>
                    <xdr:row>0</xdr:row>
                    <xdr:rowOff>38100</xdr:rowOff>
                  </from>
                  <to>
                    <xdr:col>1</xdr:col>
                    <xdr:colOff>1767840</xdr:colOff>
                    <xdr:row>0</xdr:row>
                    <xdr:rowOff>266700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A7D11-12E0-49D9-AAA3-B78101723E8B}">
  <sheetPr codeName="Planilha2"/>
  <dimension ref="A1:F211"/>
  <sheetViews>
    <sheetView workbookViewId="0">
      <pane xSplit="2" ySplit="1" topLeftCell="C2" activePane="bottomRight" state="frozen"/>
      <selection pane="topRight" activeCell="B1" sqref="B1"/>
      <selection pane="bottomLeft" activeCell="A2" sqref="A2"/>
      <selection pane="bottomRight" activeCell="C22" sqref="C22"/>
    </sheetView>
  </sheetViews>
  <sheetFormatPr defaultRowHeight="14.4" x14ac:dyDescent="0.3"/>
  <cols>
    <col min="1" max="1" width="5.5546875" customWidth="1"/>
    <col min="2" max="2" width="59.88671875" bestFit="1" customWidth="1"/>
    <col min="3" max="3" width="115.5546875" bestFit="1" customWidth="1"/>
    <col min="4" max="4" width="92.6640625" bestFit="1" customWidth="1"/>
    <col min="5" max="5" width="30.88671875" style="4" hidden="1" customWidth="1"/>
    <col min="6" max="6" width="36.5546875" hidden="1" customWidth="1"/>
  </cols>
  <sheetData>
    <row r="1" spans="1:6" ht="25.8" x14ac:dyDescent="0.5">
      <c r="A1" s="1" t="s">
        <v>0</v>
      </c>
      <c r="B1" s="1" t="s">
        <v>272</v>
      </c>
      <c r="C1" s="1" t="s">
        <v>273</v>
      </c>
      <c r="D1" s="1" t="s">
        <v>274</v>
      </c>
      <c r="E1" s="3" t="s">
        <v>275</v>
      </c>
      <c r="F1" s="1" t="s">
        <v>276</v>
      </c>
    </row>
    <row r="2" spans="1:6" x14ac:dyDescent="0.3">
      <c r="B2" t="s">
        <v>277</v>
      </c>
      <c r="C2" t="s">
        <v>278</v>
      </c>
      <c r="D2" t="s">
        <v>279</v>
      </c>
      <c r="E2" s="4" t="s">
        <v>280</v>
      </c>
      <c r="F2" t="s">
        <v>281</v>
      </c>
    </row>
    <row r="3" spans="1:6" x14ac:dyDescent="0.3">
      <c r="A3">
        <v>5</v>
      </c>
      <c r="B3" t="s">
        <v>282</v>
      </c>
      <c r="C3" t="s">
        <v>283</v>
      </c>
      <c r="D3" t="s">
        <v>279</v>
      </c>
      <c r="E3" s="4" t="s">
        <v>280</v>
      </c>
      <c r="F3" t="s">
        <v>281</v>
      </c>
    </row>
    <row r="4" spans="1:6" x14ac:dyDescent="0.3">
      <c r="B4" t="s">
        <v>284</v>
      </c>
      <c r="C4" t="s">
        <v>285</v>
      </c>
      <c r="D4" t="s">
        <v>279</v>
      </c>
      <c r="E4" s="4" t="s">
        <v>280</v>
      </c>
      <c r="F4" t="s">
        <v>281</v>
      </c>
    </row>
    <row r="5" spans="1:6" x14ac:dyDescent="0.3">
      <c r="A5">
        <v>12</v>
      </c>
      <c r="B5" t="s">
        <v>286</v>
      </c>
      <c r="C5" t="s">
        <v>287</v>
      </c>
      <c r="D5" t="s">
        <v>279</v>
      </c>
      <c r="E5" s="4" t="s">
        <v>280</v>
      </c>
      <c r="F5" t="s">
        <v>288</v>
      </c>
    </row>
    <row r="6" spans="1:6" x14ac:dyDescent="0.3">
      <c r="A6">
        <v>8</v>
      </c>
      <c r="B6" t="s">
        <v>137</v>
      </c>
      <c r="C6" t="s">
        <v>825</v>
      </c>
      <c r="D6" t="s">
        <v>279</v>
      </c>
      <c r="E6" s="4" t="s">
        <v>280</v>
      </c>
      <c r="F6" t="s">
        <v>288</v>
      </c>
    </row>
    <row r="7" spans="1:6" x14ac:dyDescent="0.3">
      <c r="A7">
        <v>2</v>
      </c>
      <c r="B7" t="s">
        <v>289</v>
      </c>
      <c r="C7" t="s">
        <v>290</v>
      </c>
      <c r="D7" t="s">
        <v>291</v>
      </c>
      <c r="E7" s="4" t="s">
        <v>292</v>
      </c>
      <c r="F7" t="s">
        <v>293</v>
      </c>
    </row>
    <row r="8" spans="1:6" x14ac:dyDescent="0.3">
      <c r="A8">
        <v>5</v>
      </c>
      <c r="B8" t="s">
        <v>294</v>
      </c>
      <c r="C8" t="s">
        <v>295</v>
      </c>
      <c r="D8" t="s">
        <v>279</v>
      </c>
      <c r="E8" s="4" t="s">
        <v>296</v>
      </c>
      <c r="F8" t="s">
        <v>297</v>
      </c>
    </row>
    <row r="9" spans="1:6" x14ac:dyDescent="0.3">
      <c r="A9">
        <v>10</v>
      </c>
      <c r="B9" t="s">
        <v>298</v>
      </c>
      <c r="C9" t="s">
        <v>299</v>
      </c>
      <c r="D9" t="s">
        <v>279</v>
      </c>
      <c r="E9" s="4" t="s">
        <v>300</v>
      </c>
      <c r="F9" t="s">
        <v>301</v>
      </c>
    </row>
    <row r="10" spans="1:6" x14ac:dyDescent="0.3">
      <c r="A10">
        <v>49</v>
      </c>
      <c r="B10" t="s">
        <v>302</v>
      </c>
      <c r="C10" t="s">
        <v>303</v>
      </c>
      <c r="D10" t="s">
        <v>279</v>
      </c>
      <c r="E10" s="4" t="s">
        <v>300</v>
      </c>
      <c r="F10" t="s">
        <v>301</v>
      </c>
    </row>
    <row r="11" spans="1:6" x14ac:dyDescent="0.3">
      <c r="B11" t="s">
        <v>304</v>
      </c>
      <c r="C11" t="s">
        <v>305</v>
      </c>
      <c r="D11" t="s">
        <v>279</v>
      </c>
      <c r="E11" s="4" t="s">
        <v>306</v>
      </c>
      <c r="F11" t="s">
        <v>307</v>
      </c>
    </row>
    <row r="12" spans="1:6" x14ac:dyDescent="0.3">
      <c r="A12">
        <v>1</v>
      </c>
      <c r="B12" t="s">
        <v>308</v>
      </c>
      <c r="C12" t="s">
        <v>309</v>
      </c>
      <c r="D12" t="s">
        <v>279</v>
      </c>
      <c r="E12" s="4" t="s">
        <v>280</v>
      </c>
      <c r="F12" t="s">
        <v>281</v>
      </c>
    </row>
    <row r="13" spans="1:6" x14ac:dyDescent="0.3">
      <c r="B13" t="s">
        <v>310</v>
      </c>
      <c r="C13" t="s">
        <v>311</v>
      </c>
      <c r="D13" t="s">
        <v>291</v>
      </c>
      <c r="E13" s="4" t="s">
        <v>300</v>
      </c>
      <c r="F13" t="s">
        <v>312</v>
      </c>
    </row>
    <row r="14" spans="1:6" x14ac:dyDescent="0.3">
      <c r="A14">
        <v>2</v>
      </c>
      <c r="B14" t="s">
        <v>313</v>
      </c>
      <c r="C14" t="s">
        <v>314</v>
      </c>
      <c r="D14" t="s">
        <v>279</v>
      </c>
      <c r="E14" s="4" t="s">
        <v>296</v>
      </c>
      <c r="F14" t="s">
        <v>297</v>
      </c>
    </row>
    <row r="15" spans="1:6" x14ac:dyDescent="0.3">
      <c r="B15" t="s">
        <v>315</v>
      </c>
      <c r="C15" t="s">
        <v>316</v>
      </c>
      <c r="D15" t="s">
        <v>279</v>
      </c>
      <c r="E15" s="4" t="s">
        <v>280</v>
      </c>
      <c r="F15" t="s">
        <v>288</v>
      </c>
    </row>
    <row r="16" spans="1:6" x14ac:dyDescent="0.3">
      <c r="A16">
        <v>4</v>
      </c>
      <c r="B16" t="s">
        <v>57</v>
      </c>
      <c r="C16" t="s">
        <v>317</v>
      </c>
      <c r="D16" t="s">
        <v>279</v>
      </c>
      <c r="E16" s="4" t="s">
        <v>300</v>
      </c>
      <c r="F16" t="s">
        <v>301</v>
      </c>
    </row>
    <row r="17" spans="1:6" x14ac:dyDescent="0.3">
      <c r="B17" t="s">
        <v>318</v>
      </c>
      <c r="C17" t="s">
        <v>319</v>
      </c>
      <c r="D17" t="s">
        <v>279</v>
      </c>
      <c r="E17" s="4" t="s">
        <v>280</v>
      </c>
      <c r="F17" t="s">
        <v>281</v>
      </c>
    </row>
    <row r="18" spans="1:6" x14ac:dyDescent="0.3">
      <c r="A18">
        <v>35</v>
      </c>
      <c r="B18" t="s">
        <v>72</v>
      </c>
      <c r="C18" t="s">
        <v>320</v>
      </c>
      <c r="D18" t="s">
        <v>279</v>
      </c>
      <c r="E18" s="4" t="s">
        <v>300</v>
      </c>
      <c r="F18" t="s">
        <v>301</v>
      </c>
    </row>
    <row r="19" spans="1:6" x14ac:dyDescent="0.3">
      <c r="B19" t="s">
        <v>321</v>
      </c>
      <c r="C19" t="s">
        <v>322</v>
      </c>
      <c r="D19" t="s">
        <v>279</v>
      </c>
      <c r="E19" s="4" t="s">
        <v>280</v>
      </c>
      <c r="F19" t="s">
        <v>281</v>
      </c>
    </row>
    <row r="20" spans="1:6" x14ac:dyDescent="0.3">
      <c r="B20" t="s">
        <v>323</v>
      </c>
      <c r="C20" t="s">
        <v>324</v>
      </c>
      <c r="D20" t="s">
        <v>279</v>
      </c>
      <c r="E20" s="4" t="s">
        <v>292</v>
      </c>
      <c r="F20" t="s">
        <v>325</v>
      </c>
    </row>
    <row r="21" spans="1:6" x14ac:dyDescent="0.3">
      <c r="B21" t="s">
        <v>326</v>
      </c>
      <c r="C21" t="s">
        <v>327</v>
      </c>
      <c r="D21" t="s">
        <v>279</v>
      </c>
      <c r="E21" s="4" t="s">
        <v>296</v>
      </c>
      <c r="F21" t="s">
        <v>297</v>
      </c>
    </row>
    <row r="22" spans="1:6" x14ac:dyDescent="0.3">
      <c r="A22">
        <v>43</v>
      </c>
      <c r="B22" t="s">
        <v>328</v>
      </c>
      <c r="C22" t="s">
        <v>329</v>
      </c>
      <c r="D22" t="s">
        <v>279</v>
      </c>
      <c r="E22" s="4" t="s">
        <v>280</v>
      </c>
      <c r="F22" t="s">
        <v>281</v>
      </c>
    </row>
    <row r="23" spans="1:6" x14ac:dyDescent="0.3">
      <c r="A23">
        <v>1</v>
      </c>
      <c r="B23" t="s">
        <v>330</v>
      </c>
      <c r="C23" t="s">
        <v>331</v>
      </c>
      <c r="D23" t="s">
        <v>279</v>
      </c>
      <c r="E23" s="4" t="s">
        <v>280</v>
      </c>
      <c r="F23" t="s">
        <v>281</v>
      </c>
    </row>
    <row r="24" spans="1:6" x14ac:dyDescent="0.3">
      <c r="A24">
        <v>1</v>
      </c>
      <c r="B24" t="s">
        <v>332</v>
      </c>
      <c r="C24" t="s">
        <v>333</v>
      </c>
      <c r="D24" t="s">
        <v>279</v>
      </c>
      <c r="E24" s="4" t="s">
        <v>280</v>
      </c>
      <c r="F24" t="s">
        <v>281</v>
      </c>
    </row>
    <row r="25" spans="1:6" x14ac:dyDescent="0.3">
      <c r="A25">
        <v>2</v>
      </c>
      <c r="B25" t="s">
        <v>334</v>
      </c>
      <c r="C25" t="s">
        <v>335</v>
      </c>
      <c r="D25" t="s">
        <v>291</v>
      </c>
      <c r="E25" s="4" t="s">
        <v>280</v>
      </c>
      <c r="F25" t="s">
        <v>281</v>
      </c>
    </row>
    <row r="26" spans="1:6" x14ac:dyDescent="0.3">
      <c r="A26">
        <v>11</v>
      </c>
      <c r="B26" t="s">
        <v>336</v>
      </c>
      <c r="C26" t="s">
        <v>337</v>
      </c>
      <c r="D26" t="s">
        <v>279</v>
      </c>
      <c r="E26" s="4" t="s">
        <v>280</v>
      </c>
      <c r="F26" t="s">
        <v>288</v>
      </c>
    </row>
    <row r="27" spans="1:6" x14ac:dyDescent="0.3">
      <c r="A27">
        <v>2</v>
      </c>
      <c r="B27" t="s">
        <v>338</v>
      </c>
      <c r="C27" t="s">
        <v>339</v>
      </c>
      <c r="D27" t="s">
        <v>279</v>
      </c>
      <c r="E27" s="4" t="s">
        <v>280</v>
      </c>
      <c r="F27" t="s">
        <v>281</v>
      </c>
    </row>
    <row r="28" spans="1:6" x14ac:dyDescent="0.3">
      <c r="A28">
        <v>6</v>
      </c>
      <c r="B28" t="s">
        <v>340</v>
      </c>
      <c r="C28" t="s">
        <v>341</v>
      </c>
      <c r="D28" t="s">
        <v>279</v>
      </c>
      <c r="E28" s="4" t="s">
        <v>280</v>
      </c>
      <c r="F28" t="s">
        <v>281</v>
      </c>
    </row>
    <row r="29" spans="1:6" x14ac:dyDescent="0.3">
      <c r="A29">
        <v>6</v>
      </c>
      <c r="B29" t="s">
        <v>342</v>
      </c>
      <c r="C29" t="s">
        <v>343</v>
      </c>
      <c r="D29" t="s">
        <v>279</v>
      </c>
      <c r="E29" s="4" t="s">
        <v>280</v>
      </c>
      <c r="F29" t="s">
        <v>288</v>
      </c>
    </row>
    <row r="30" spans="1:6" x14ac:dyDescent="0.3">
      <c r="A30">
        <v>1</v>
      </c>
      <c r="B30" t="s">
        <v>344</v>
      </c>
      <c r="C30" t="s">
        <v>345</v>
      </c>
      <c r="D30" t="s">
        <v>279</v>
      </c>
      <c r="E30" s="4" t="s">
        <v>280</v>
      </c>
      <c r="F30" t="s">
        <v>288</v>
      </c>
    </row>
    <row r="31" spans="1:6" x14ac:dyDescent="0.3">
      <c r="A31">
        <v>1</v>
      </c>
      <c r="B31" t="s">
        <v>346</v>
      </c>
      <c r="C31" t="s">
        <v>347</v>
      </c>
      <c r="D31" t="s">
        <v>291</v>
      </c>
      <c r="E31" s="4" t="s">
        <v>296</v>
      </c>
      <c r="F31" t="s">
        <v>297</v>
      </c>
    </row>
    <row r="32" spans="1:6" x14ac:dyDescent="0.3">
      <c r="A32">
        <v>23</v>
      </c>
      <c r="B32" t="s">
        <v>348</v>
      </c>
      <c r="C32" t="s">
        <v>349</v>
      </c>
      <c r="D32" t="s">
        <v>279</v>
      </c>
      <c r="E32" s="4" t="s">
        <v>280</v>
      </c>
      <c r="F32" t="s">
        <v>288</v>
      </c>
    </row>
    <row r="33" spans="1:6" x14ac:dyDescent="0.3">
      <c r="A33">
        <v>2</v>
      </c>
      <c r="B33" t="s">
        <v>350</v>
      </c>
      <c r="C33" t="s">
        <v>351</v>
      </c>
      <c r="D33" t="s">
        <v>279</v>
      </c>
      <c r="E33" s="4" t="s">
        <v>280</v>
      </c>
      <c r="F33" t="s">
        <v>288</v>
      </c>
    </row>
    <row r="34" spans="1:6" x14ac:dyDescent="0.3">
      <c r="A34">
        <v>1</v>
      </c>
      <c r="B34" t="s">
        <v>352</v>
      </c>
      <c r="C34" t="s">
        <v>353</v>
      </c>
      <c r="D34" t="s">
        <v>279</v>
      </c>
      <c r="E34" s="4" t="s">
        <v>280</v>
      </c>
      <c r="F34" t="s">
        <v>288</v>
      </c>
    </row>
    <row r="35" spans="1:6" x14ac:dyDescent="0.3">
      <c r="A35">
        <v>5</v>
      </c>
      <c r="B35" t="s">
        <v>354</v>
      </c>
      <c r="C35" t="s">
        <v>355</v>
      </c>
      <c r="D35" t="s">
        <v>291</v>
      </c>
      <c r="E35" s="4" t="s">
        <v>296</v>
      </c>
      <c r="F35" t="s">
        <v>297</v>
      </c>
    </row>
    <row r="36" spans="1:6" x14ac:dyDescent="0.3">
      <c r="A36">
        <v>2</v>
      </c>
      <c r="B36" t="s">
        <v>356</v>
      </c>
      <c r="C36" t="s">
        <v>357</v>
      </c>
      <c r="D36" t="s">
        <v>279</v>
      </c>
      <c r="E36" s="4" t="s">
        <v>292</v>
      </c>
      <c r="F36" t="s">
        <v>293</v>
      </c>
    </row>
    <row r="37" spans="1:6" x14ac:dyDescent="0.3">
      <c r="A37">
        <v>4</v>
      </c>
      <c r="B37" t="s">
        <v>358</v>
      </c>
      <c r="C37" t="s">
        <v>687</v>
      </c>
      <c r="D37" t="s">
        <v>279</v>
      </c>
      <c r="E37" s="4" t="s">
        <v>280</v>
      </c>
      <c r="F37" t="s">
        <v>281</v>
      </c>
    </row>
    <row r="38" spans="1:6" x14ac:dyDescent="0.3">
      <c r="A38">
        <v>2</v>
      </c>
      <c r="B38" t="s">
        <v>359</v>
      </c>
      <c r="C38" t="s">
        <v>360</v>
      </c>
      <c r="D38" t="s">
        <v>279</v>
      </c>
      <c r="E38" s="4" t="s">
        <v>280</v>
      </c>
      <c r="F38" t="s">
        <v>281</v>
      </c>
    </row>
    <row r="39" spans="1:6" x14ac:dyDescent="0.3">
      <c r="A39">
        <v>1</v>
      </c>
      <c r="B39" t="s">
        <v>361</v>
      </c>
      <c r="C39" t="s">
        <v>362</v>
      </c>
      <c r="D39" t="s">
        <v>279</v>
      </c>
      <c r="E39" s="4" t="s">
        <v>280</v>
      </c>
      <c r="F39" t="s">
        <v>288</v>
      </c>
    </row>
    <row r="40" spans="1:6" x14ac:dyDescent="0.3">
      <c r="A40">
        <v>4</v>
      </c>
      <c r="B40" t="s">
        <v>363</v>
      </c>
      <c r="C40" t="s">
        <v>364</v>
      </c>
      <c r="D40" t="s">
        <v>291</v>
      </c>
      <c r="E40" s="4" t="s">
        <v>280</v>
      </c>
      <c r="F40" t="s">
        <v>281</v>
      </c>
    </row>
    <row r="41" spans="1:6" x14ac:dyDescent="0.3">
      <c r="A41">
        <v>1</v>
      </c>
      <c r="B41" t="s">
        <v>365</v>
      </c>
      <c r="C41" t="s">
        <v>366</v>
      </c>
      <c r="D41" t="s">
        <v>279</v>
      </c>
      <c r="E41" s="4" t="s">
        <v>280</v>
      </c>
      <c r="F41" t="s">
        <v>281</v>
      </c>
    </row>
    <row r="42" spans="1:6" x14ac:dyDescent="0.3">
      <c r="A42">
        <v>1</v>
      </c>
      <c r="B42" t="s">
        <v>367</v>
      </c>
      <c r="C42" t="s">
        <v>368</v>
      </c>
      <c r="D42" t="s">
        <v>279</v>
      </c>
      <c r="E42" s="4" t="s">
        <v>280</v>
      </c>
      <c r="F42" t="s">
        <v>281</v>
      </c>
    </row>
    <row r="43" spans="1:6" x14ac:dyDescent="0.3">
      <c r="A43">
        <v>6</v>
      </c>
      <c r="B43" t="s">
        <v>369</v>
      </c>
      <c r="C43" t="s">
        <v>370</v>
      </c>
      <c r="D43" t="s">
        <v>279</v>
      </c>
      <c r="E43" s="4" t="s">
        <v>280</v>
      </c>
      <c r="F43" t="s">
        <v>281</v>
      </c>
    </row>
    <row r="44" spans="1:6" x14ac:dyDescent="0.3">
      <c r="A44">
        <v>2</v>
      </c>
      <c r="B44" t="s">
        <v>371</v>
      </c>
      <c r="C44" t="s">
        <v>372</v>
      </c>
      <c r="D44" t="s">
        <v>279</v>
      </c>
      <c r="E44" s="4" t="s">
        <v>280</v>
      </c>
      <c r="F44" t="s">
        <v>281</v>
      </c>
    </row>
    <row r="45" spans="1:6" x14ac:dyDescent="0.3">
      <c r="A45">
        <v>2</v>
      </c>
      <c r="B45" t="s">
        <v>373</v>
      </c>
      <c r="C45" t="s">
        <v>374</v>
      </c>
      <c r="D45" t="s">
        <v>279</v>
      </c>
      <c r="E45" s="4" t="s">
        <v>280</v>
      </c>
      <c r="F45" t="s">
        <v>281</v>
      </c>
    </row>
    <row r="46" spans="1:6" x14ac:dyDescent="0.3">
      <c r="A46">
        <v>1</v>
      </c>
      <c r="B46" t="s">
        <v>375</v>
      </c>
      <c r="C46" t="s">
        <v>376</v>
      </c>
      <c r="D46" t="s">
        <v>279</v>
      </c>
      <c r="E46" s="4" t="s">
        <v>280</v>
      </c>
      <c r="F46" t="s">
        <v>281</v>
      </c>
    </row>
    <row r="47" spans="1:6" x14ac:dyDescent="0.3">
      <c r="A47">
        <v>12</v>
      </c>
      <c r="B47" t="s">
        <v>377</v>
      </c>
      <c r="C47" t="s">
        <v>378</v>
      </c>
      <c r="D47" t="s">
        <v>279</v>
      </c>
      <c r="E47" s="4" t="s">
        <v>280</v>
      </c>
      <c r="F47" t="s">
        <v>281</v>
      </c>
    </row>
    <row r="48" spans="1:6" x14ac:dyDescent="0.3">
      <c r="A48">
        <v>6</v>
      </c>
      <c r="B48" t="s">
        <v>840</v>
      </c>
      <c r="C48" t="s">
        <v>841</v>
      </c>
      <c r="D48" t="s">
        <v>279</v>
      </c>
      <c r="E48" s="4" t="s">
        <v>280</v>
      </c>
      <c r="F48" t="s">
        <v>288</v>
      </c>
    </row>
    <row r="49" spans="1:6" x14ac:dyDescent="0.3">
      <c r="A49">
        <v>1</v>
      </c>
      <c r="B49" t="s">
        <v>379</v>
      </c>
      <c r="C49" t="s">
        <v>380</v>
      </c>
      <c r="D49" t="s">
        <v>279</v>
      </c>
      <c r="E49" s="4" t="s">
        <v>280</v>
      </c>
      <c r="F49" t="s">
        <v>281</v>
      </c>
    </row>
    <row r="50" spans="1:6" x14ac:dyDescent="0.3">
      <c r="A50">
        <v>7</v>
      </c>
      <c r="B50" t="s">
        <v>381</v>
      </c>
      <c r="C50" t="s">
        <v>382</v>
      </c>
      <c r="D50" t="s">
        <v>279</v>
      </c>
      <c r="E50" s="4" t="s">
        <v>280</v>
      </c>
      <c r="F50" t="s">
        <v>281</v>
      </c>
    </row>
    <row r="51" spans="1:6" x14ac:dyDescent="0.3">
      <c r="A51">
        <v>7</v>
      </c>
      <c r="B51" t="s">
        <v>383</v>
      </c>
      <c r="C51" t="s">
        <v>384</v>
      </c>
      <c r="D51" t="s">
        <v>279</v>
      </c>
      <c r="E51" s="4" t="s">
        <v>280</v>
      </c>
      <c r="F51" t="s">
        <v>281</v>
      </c>
    </row>
    <row r="52" spans="1:6" x14ac:dyDescent="0.3">
      <c r="A52">
        <v>2</v>
      </c>
      <c r="B52" t="s">
        <v>385</v>
      </c>
      <c r="C52" t="s">
        <v>386</v>
      </c>
      <c r="D52" t="s">
        <v>279</v>
      </c>
      <c r="E52" s="4" t="s">
        <v>280</v>
      </c>
      <c r="F52" t="s">
        <v>281</v>
      </c>
    </row>
    <row r="53" spans="1:6" x14ac:dyDescent="0.3">
      <c r="A53">
        <v>5</v>
      </c>
      <c r="B53" t="s">
        <v>387</v>
      </c>
      <c r="C53" t="s">
        <v>388</v>
      </c>
      <c r="D53" t="s">
        <v>279</v>
      </c>
      <c r="E53" s="4" t="s">
        <v>280</v>
      </c>
      <c r="F53" t="s">
        <v>281</v>
      </c>
    </row>
    <row r="54" spans="1:6" x14ac:dyDescent="0.3">
      <c r="A54">
        <v>2</v>
      </c>
      <c r="B54" t="s">
        <v>389</v>
      </c>
      <c r="C54" t="s">
        <v>390</v>
      </c>
      <c r="D54" t="s">
        <v>279</v>
      </c>
      <c r="E54" s="4" t="s">
        <v>280</v>
      </c>
      <c r="F54" t="s">
        <v>281</v>
      </c>
    </row>
    <row r="55" spans="1:6" x14ac:dyDescent="0.3">
      <c r="A55">
        <v>12</v>
      </c>
      <c r="B55" t="s">
        <v>391</v>
      </c>
      <c r="C55" t="s">
        <v>392</v>
      </c>
      <c r="D55" t="s">
        <v>279</v>
      </c>
      <c r="E55" s="4" t="s">
        <v>280</v>
      </c>
      <c r="F55" t="s">
        <v>281</v>
      </c>
    </row>
    <row r="56" spans="1:6" x14ac:dyDescent="0.3">
      <c r="A56">
        <v>1</v>
      </c>
      <c r="B56" t="s">
        <v>393</v>
      </c>
      <c r="C56" t="s">
        <v>394</v>
      </c>
      <c r="D56" t="s">
        <v>279</v>
      </c>
      <c r="E56" s="4" t="s">
        <v>280</v>
      </c>
      <c r="F56" t="s">
        <v>281</v>
      </c>
    </row>
    <row r="57" spans="1:6" x14ac:dyDescent="0.3">
      <c r="A57">
        <v>4</v>
      </c>
      <c r="B57" t="s">
        <v>395</v>
      </c>
      <c r="C57" t="s">
        <v>396</v>
      </c>
      <c r="D57" t="s">
        <v>279</v>
      </c>
      <c r="E57" s="4" t="s">
        <v>280</v>
      </c>
      <c r="F57" t="s">
        <v>288</v>
      </c>
    </row>
    <row r="58" spans="1:6" x14ac:dyDescent="0.3">
      <c r="A58">
        <v>10</v>
      </c>
      <c r="B58" t="s">
        <v>397</v>
      </c>
      <c r="C58" t="s">
        <v>398</v>
      </c>
      <c r="D58" t="s">
        <v>279</v>
      </c>
      <c r="E58" s="4" t="s">
        <v>300</v>
      </c>
      <c r="F58" t="s">
        <v>312</v>
      </c>
    </row>
    <row r="59" spans="1:6" x14ac:dyDescent="0.3">
      <c r="A59">
        <v>1</v>
      </c>
      <c r="B59" t="s">
        <v>399</v>
      </c>
      <c r="C59" t="s">
        <v>400</v>
      </c>
      <c r="D59" t="s">
        <v>279</v>
      </c>
      <c r="E59" s="4" t="s">
        <v>280</v>
      </c>
      <c r="F59" t="s">
        <v>281</v>
      </c>
    </row>
    <row r="60" spans="1:6" x14ac:dyDescent="0.3">
      <c r="A60">
        <v>16</v>
      </c>
      <c r="B60" t="s">
        <v>401</v>
      </c>
      <c r="C60" t="s">
        <v>402</v>
      </c>
      <c r="D60" t="s">
        <v>279</v>
      </c>
      <c r="E60" s="4" t="s">
        <v>280</v>
      </c>
      <c r="F60" t="s">
        <v>281</v>
      </c>
    </row>
    <row r="61" spans="1:6" x14ac:dyDescent="0.3">
      <c r="A61">
        <v>5</v>
      </c>
      <c r="B61" t="s">
        <v>403</v>
      </c>
      <c r="C61" t="s">
        <v>404</v>
      </c>
      <c r="D61" t="s">
        <v>279</v>
      </c>
      <c r="E61" s="4" t="s">
        <v>280</v>
      </c>
      <c r="F61" t="s">
        <v>288</v>
      </c>
    </row>
    <row r="62" spans="1:6" x14ac:dyDescent="0.3">
      <c r="A62">
        <v>3</v>
      </c>
      <c r="B62" t="s">
        <v>405</v>
      </c>
      <c r="C62" t="s">
        <v>406</v>
      </c>
      <c r="D62" t="s">
        <v>279</v>
      </c>
      <c r="E62" s="4" t="s">
        <v>280</v>
      </c>
      <c r="F62" t="s">
        <v>281</v>
      </c>
    </row>
    <row r="63" spans="1:6" x14ac:dyDescent="0.3">
      <c r="A63">
        <v>1</v>
      </c>
      <c r="B63" t="s">
        <v>407</v>
      </c>
      <c r="C63" t="s">
        <v>408</v>
      </c>
      <c r="D63" t="s">
        <v>279</v>
      </c>
      <c r="E63" s="4" t="s">
        <v>300</v>
      </c>
      <c r="F63" t="s">
        <v>301</v>
      </c>
    </row>
    <row r="64" spans="1:6" x14ac:dyDescent="0.3">
      <c r="A64">
        <v>1</v>
      </c>
      <c r="B64" t="s">
        <v>409</v>
      </c>
      <c r="C64" t="s">
        <v>410</v>
      </c>
      <c r="D64" t="s">
        <v>279</v>
      </c>
      <c r="E64" s="4" t="s">
        <v>280</v>
      </c>
      <c r="F64" t="s">
        <v>281</v>
      </c>
    </row>
    <row r="65" spans="1:6" x14ac:dyDescent="0.3">
      <c r="A65">
        <v>5</v>
      </c>
      <c r="B65" t="s">
        <v>411</v>
      </c>
      <c r="C65" t="s">
        <v>412</v>
      </c>
      <c r="D65" t="s">
        <v>279</v>
      </c>
      <c r="E65" s="4" t="s">
        <v>280</v>
      </c>
      <c r="F65" t="s">
        <v>281</v>
      </c>
    </row>
    <row r="66" spans="1:6" x14ac:dyDescent="0.3">
      <c r="A66">
        <v>2</v>
      </c>
      <c r="B66" t="s">
        <v>413</v>
      </c>
      <c r="C66" t="s">
        <v>414</v>
      </c>
      <c r="D66" t="s">
        <v>279</v>
      </c>
      <c r="E66" s="4" t="s">
        <v>280</v>
      </c>
      <c r="F66" t="s">
        <v>288</v>
      </c>
    </row>
    <row r="67" spans="1:6" x14ac:dyDescent="0.3">
      <c r="A67">
        <v>1</v>
      </c>
      <c r="B67" t="s">
        <v>415</v>
      </c>
      <c r="C67" t="s">
        <v>416</v>
      </c>
      <c r="D67" t="s">
        <v>279</v>
      </c>
      <c r="E67" s="4" t="s">
        <v>280</v>
      </c>
      <c r="F67" t="s">
        <v>288</v>
      </c>
    </row>
    <row r="68" spans="1:6" x14ac:dyDescent="0.3">
      <c r="A68">
        <v>5</v>
      </c>
      <c r="B68" t="s">
        <v>417</v>
      </c>
      <c r="C68" t="s">
        <v>418</v>
      </c>
      <c r="D68" t="s">
        <v>279</v>
      </c>
      <c r="E68" s="4" t="s">
        <v>280</v>
      </c>
      <c r="F68" t="s">
        <v>281</v>
      </c>
    </row>
    <row r="69" spans="1:6" x14ac:dyDescent="0.3">
      <c r="A69">
        <v>2</v>
      </c>
      <c r="B69" t="s">
        <v>419</v>
      </c>
      <c r="C69" t="s">
        <v>420</v>
      </c>
      <c r="D69" t="s">
        <v>279</v>
      </c>
      <c r="E69" s="4" t="s">
        <v>280</v>
      </c>
      <c r="F69" t="s">
        <v>288</v>
      </c>
    </row>
    <row r="70" spans="1:6" x14ac:dyDescent="0.3">
      <c r="A70">
        <v>1</v>
      </c>
      <c r="B70" t="s">
        <v>421</v>
      </c>
      <c r="C70" t="s">
        <v>422</v>
      </c>
      <c r="D70" t="s">
        <v>291</v>
      </c>
      <c r="E70" s="4" t="s">
        <v>280</v>
      </c>
      <c r="F70" t="s">
        <v>288</v>
      </c>
    </row>
    <row r="71" spans="1:6" x14ac:dyDescent="0.3">
      <c r="A71">
        <v>1</v>
      </c>
      <c r="B71" t="s">
        <v>423</v>
      </c>
      <c r="C71" t="s">
        <v>424</v>
      </c>
      <c r="D71" t="s">
        <v>279</v>
      </c>
      <c r="E71" s="4" t="s">
        <v>280</v>
      </c>
      <c r="F71" t="s">
        <v>281</v>
      </c>
    </row>
    <row r="72" spans="1:6" x14ac:dyDescent="0.3">
      <c r="A72">
        <v>2</v>
      </c>
      <c r="B72" t="s">
        <v>425</v>
      </c>
      <c r="C72" t="s">
        <v>426</v>
      </c>
      <c r="D72" t="s">
        <v>279</v>
      </c>
      <c r="E72" s="4" t="s">
        <v>280</v>
      </c>
      <c r="F72" t="s">
        <v>281</v>
      </c>
    </row>
    <row r="73" spans="1:6" x14ac:dyDescent="0.3">
      <c r="A73">
        <v>1</v>
      </c>
      <c r="B73" t="s">
        <v>427</v>
      </c>
      <c r="C73" t="s">
        <v>428</v>
      </c>
      <c r="D73" t="s">
        <v>279</v>
      </c>
      <c r="E73" s="4" t="s">
        <v>280</v>
      </c>
      <c r="F73" t="s">
        <v>281</v>
      </c>
    </row>
    <row r="74" spans="1:6" x14ac:dyDescent="0.3">
      <c r="A74">
        <v>1</v>
      </c>
      <c r="B74" t="s">
        <v>429</v>
      </c>
      <c r="C74" t="s">
        <v>430</v>
      </c>
      <c r="D74" t="s">
        <v>279</v>
      </c>
      <c r="E74" s="4" t="s">
        <v>280</v>
      </c>
      <c r="F74" t="s">
        <v>281</v>
      </c>
    </row>
    <row r="75" spans="1:6" x14ac:dyDescent="0.3">
      <c r="A75">
        <v>1</v>
      </c>
      <c r="B75" t="s">
        <v>431</v>
      </c>
      <c r="C75" t="s">
        <v>432</v>
      </c>
      <c r="D75" t="s">
        <v>279</v>
      </c>
      <c r="E75" s="4" t="s">
        <v>280</v>
      </c>
      <c r="F75" t="s">
        <v>281</v>
      </c>
    </row>
    <row r="76" spans="1:6" x14ac:dyDescent="0.3">
      <c r="A76">
        <v>1</v>
      </c>
      <c r="B76" t="s">
        <v>433</v>
      </c>
      <c r="C76" t="s">
        <v>434</v>
      </c>
      <c r="D76" t="s">
        <v>279</v>
      </c>
      <c r="E76" s="4" t="s">
        <v>280</v>
      </c>
      <c r="F76" t="s">
        <v>288</v>
      </c>
    </row>
    <row r="77" spans="1:6" x14ac:dyDescent="0.3">
      <c r="A77">
        <v>1</v>
      </c>
      <c r="B77" t="s">
        <v>435</v>
      </c>
      <c r="C77" t="s">
        <v>436</v>
      </c>
      <c r="D77" t="s">
        <v>279</v>
      </c>
      <c r="E77" s="4" t="s">
        <v>280</v>
      </c>
      <c r="F77" t="s">
        <v>281</v>
      </c>
    </row>
    <row r="78" spans="1:6" x14ac:dyDescent="0.3">
      <c r="A78">
        <v>7</v>
      </c>
      <c r="B78" t="s">
        <v>437</v>
      </c>
      <c r="C78" t="s">
        <v>438</v>
      </c>
      <c r="D78" t="s">
        <v>279</v>
      </c>
      <c r="E78" s="4" t="s">
        <v>296</v>
      </c>
      <c r="F78" t="s">
        <v>297</v>
      </c>
    </row>
    <row r="79" spans="1:6" x14ac:dyDescent="0.3">
      <c r="A79">
        <v>3</v>
      </c>
      <c r="B79" t="s">
        <v>636</v>
      </c>
      <c r="C79" t="s">
        <v>635</v>
      </c>
      <c r="D79" t="s">
        <v>279</v>
      </c>
      <c r="E79" s="4" t="s">
        <v>280</v>
      </c>
      <c r="F79" t="s">
        <v>281</v>
      </c>
    </row>
    <row r="80" spans="1:6" x14ac:dyDescent="0.3">
      <c r="A80">
        <v>2</v>
      </c>
      <c r="B80" t="s">
        <v>439</v>
      </c>
      <c r="C80" t="s">
        <v>440</v>
      </c>
      <c r="D80" t="s">
        <v>291</v>
      </c>
      <c r="E80" s="4" t="s">
        <v>280</v>
      </c>
      <c r="F80" t="s">
        <v>288</v>
      </c>
    </row>
    <row r="81" spans="1:6" x14ac:dyDescent="0.3">
      <c r="A81">
        <v>15</v>
      </c>
      <c r="B81" t="s">
        <v>800</v>
      </c>
      <c r="C81" t="s">
        <v>799</v>
      </c>
      <c r="D81" t="s">
        <v>279</v>
      </c>
      <c r="E81" s="4" t="s">
        <v>280</v>
      </c>
      <c r="F81" t="s">
        <v>281</v>
      </c>
    </row>
    <row r="82" spans="1:6" x14ac:dyDescent="0.3">
      <c r="A82">
        <v>1</v>
      </c>
      <c r="B82" t="s">
        <v>441</v>
      </c>
      <c r="C82" t="s">
        <v>442</v>
      </c>
      <c r="D82" t="s">
        <v>279</v>
      </c>
      <c r="E82" s="4" t="s">
        <v>280</v>
      </c>
      <c r="F82" t="s">
        <v>281</v>
      </c>
    </row>
    <row r="83" spans="1:6" x14ac:dyDescent="0.3">
      <c r="A83">
        <v>1</v>
      </c>
      <c r="B83" t="s">
        <v>443</v>
      </c>
      <c r="C83" t="s">
        <v>444</v>
      </c>
      <c r="D83" t="s">
        <v>279</v>
      </c>
      <c r="E83" s="4" t="s">
        <v>280</v>
      </c>
      <c r="F83" t="s">
        <v>288</v>
      </c>
    </row>
    <row r="84" spans="1:6" x14ac:dyDescent="0.3">
      <c r="A84">
        <v>3</v>
      </c>
      <c r="B84" t="s">
        <v>445</v>
      </c>
      <c r="C84" t="s">
        <v>446</v>
      </c>
      <c r="D84" t="s">
        <v>279</v>
      </c>
      <c r="E84" s="4" t="s">
        <v>296</v>
      </c>
      <c r="F84" t="s">
        <v>297</v>
      </c>
    </row>
    <row r="85" spans="1:6" x14ac:dyDescent="0.3">
      <c r="A85">
        <v>1</v>
      </c>
      <c r="B85" t="s">
        <v>447</v>
      </c>
      <c r="C85" t="s">
        <v>448</v>
      </c>
      <c r="D85" t="s">
        <v>279</v>
      </c>
      <c r="E85" s="4" t="s">
        <v>280</v>
      </c>
      <c r="F85" t="s">
        <v>281</v>
      </c>
    </row>
    <row r="86" spans="1:6" x14ac:dyDescent="0.3">
      <c r="A86">
        <v>2</v>
      </c>
      <c r="B86" t="s">
        <v>449</v>
      </c>
      <c r="C86" t="s">
        <v>450</v>
      </c>
      <c r="D86" t="s">
        <v>279</v>
      </c>
      <c r="E86" s="4" t="s">
        <v>280</v>
      </c>
      <c r="F86" t="s">
        <v>281</v>
      </c>
    </row>
    <row r="87" spans="1:6" x14ac:dyDescent="0.3">
      <c r="A87">
        <v>6</v>
      </c>
      <c r="B87" t="s">
        <v>451</v>
      </c>
      <c r="C87" t="s">
        <v>452</v>
      </c>
      <c r="D87" t="s">
        <v>291</v>
      </c>
      <c r="E87" s="4" t="s">
        <v>280</v>
      </c>
      <c r="F87" t="s">
        <v>281</v>
      </c>
    </row>
    <row r="88" spans="1:6" x14ac:dyDescent="0.3">
      <c r="A88">
        <v>1</v>
      </c>
      <c r="B88" t="s">
        <v>453</v>
      </c>
      <c r="C88" t="s">
        <v>454</v>
      </c>
      <c r="D88" t="s">
        <v>279</v>
      </c>
      <c r="E88" s="4" t="s">
        <v>280</v>
      </c>
      <c r="F88" t="s">
        <v>288</v>
      </c>
    </row>
    <row r="89" spans="1:6" x14ac:dyDescent="0.3">
      <c r="A89">
        <v>4</v>
      </c>
      <c r="B89" t="s">
        <v>455</v>
      </c>
      <c r="C89" t="s">
        <v>456</v>
      </c>
      <c r="D89" t="s">
        <v>279</v>
      </c>
      <c r="E89" s="4" t="s">
        <v>280</v>
      </c>
      <c r="F89" t="s">
        <v>281</v>
      </c>
    </row>
    <row r="90" spans="1:6" x14ac:dyDescent="0.3">
      <c r="A90">
        <v>1</v>
      </c>
      <c r="B90" t="s">
        <v>457</v>
      </c>
      <c r="C90" t="s">
        <v>458</v>
      </c>
      <c r="D90" t="s">
        <v>279</v>
      </c>
      <c r="E90" s="4" t="s">
        <v>280</v>
      </c>
      <c r="F90" t="s">
        <v>288</v>
      </c>
    </row>
    <row r="91" spans="1:6" x14ac:dyDescent="0.3">
      <c r="A91">
        <v>1</v>
      </c>
      <c r="B91" t="s">
        <v>459</v>
      </c>
      <c r="C91" t="s">
        <v>460</v>
      </c>
      <c r="D91" t="s">
        <v>279</v>
      </c>
      <c r="E91" s="4" t="s">
        <v>280</v>
      </c>
      <c r="F91" t="s">
        <v>281</v>
      </c>
    </row>
    <row r="92" spans="1:6" x14ac:dyDescent="0.3">
      <c r="A92">
        <v>3</v>
      </c>
      <c r="B92" t="s">
        <v>461</v>
      </c>
      <c r="C92" t="s">
        <v>462</v>
      </c>
      <c r="D92" t="s">
        <v>279</v>
      </c>
      <c r="E92" s="4" t="s">
        <v>280</v>
      </c>
      <c r="F92" t="s">
        <v>288</v>
      </c>
    </row>
    <row r="93" spans="1:6" x14ac:dyDescent="0.3">
      <c r="A93">
        <v>6</v>
      </c>
      <c r="B93" t="s">
        <v>463</v>
      </c>
      <c r="C93" t="s">
        <v>464</v>
      </c>
      <c r="D93" t="s">
        <v>279</v>
      </c>
      <c r="E93" s="4" t="s">
        <v>280</v>
      </c>
      <c r="F93" t="s">
        <v>288</v>
      </c>
    </row>
    <row r="94" spans="1:6" x14ac:dyDescent="0.3">
      <c r="A94">
        <v>2</v>
      </c>
      <c r="B94" t="s">
        <v>465</v>
      </c>
      <c r="C94" t="s">
        <v>466</v>
      </c>
      <c r="D94" t="s">
        <v>279</v>
      </c>
      <c r="E94" s="4" t="s">
        <v>280</v>
      </c>
      <c r="F94" t="s">
        <v>288</v>
      </c>
    </row>
    <row r="95" spans="1:6" x14ac:dyDescent="0.3">
      <c r="A95">
        <v>1</v>
      </c>
      <c r="B95" t="s">
        <v>467</v>
      </c>
      <c r="C95" t="s">
        <v>468</v>
      </c>
      <c r="D95" t="s">
        <v>279</v>
      </c>
      <c r="E95" s="4" t="s">
        <v>280</v>
      </c>
      <c r="F95" t="s">
        <v>288</v>
      </c>
    </row>
    <row r="96" spans="1:6" x14ac:dyDescent="0.3">
      <c r="B96" t="s">
        <v>469</v>
      </c>
      <c r="C96" t="s">
        <v>470</v>
      </c>
      <c r="D96" t="s">
        <v>279</v>
      </c>
      <c r="E96" s="4" t="s">
        <v>280</v>
      </c>
      <c r="F96" t="s">
        <v>281</v>
      </c>
    </row>
    <row r="97" spans="1:6" x14ac:dyDescent="0.3">
      <c r="A97">
        <v>2</v>
      </c>
      <c r="B97" t="s">
        <v>471</v>
      </c>
      <c r="C97" t="s">
        <v>472</v>
      </c>
      <c r="D97" t="s">
        <v>279</v>
      </c>
      <c r="E97" s="4" t="s">
        <v>280</v>
      </c>
      <c r="F97" t="s">
        <v>281</v>
      </c>
    </row>
    <row r="98" spans="1:6" x14ac:dyDescent="0.3">
      <c r="A98">
        <v>1</v>
      </c>
      <c r="B98" t="s">
        <v>473</v>
      </c>
      <c r="C98" t="s">
        <v>474</v>
      </c>
      <c r="D98" t="s">
        <v>279</v>
      </c>
      <c r="E98" s="4" t="s">
        <v>296</v>
      </c>
      <c r="F98" t="s">
        <v>297</v>
      </c>
    </row>
    <row r="99" spans="1:6" x14ac:dyDescent="0.3">
      <c r="A99">
        <v>8</v>
      </c>
      <c r="B99" t="s">
        <v>643</v>
      </c>
      <c r="C99" t="s">
        <v>644</v>
      </c>
      <c r="D99" t="s">
        <v>291</v>
      </c>
      <c r="E99" s="4" t="s">
        <v>296</v>
      </c>
      <c r="F99" t="s">
        <v>297</v>
      </c>
    </row>
    <row r="100" spans="1:6" x14ac:dyDescent="0.3">
      <c r="A100">
        <v>7</v>
      </c>
      <c r="B100" t="s">
        <v>475</v>
      </c>
      <c r="C100" t="s">
        <v>476</v>
      </c>
      <c r="D100" t="s">
        <v>279</v>
      </c>
      <c r="E100" s="4" t="s">
        <v>280</v>
      </c>
      <c r="F100" t="s">
        <v>288</v>
      </c>
    </row>
    <row r="101" spans="1:6" x14ac:dyDescent="0.3">
      <c r="A101">
        <v>2</v>
      </c>
      <c r="B101" t="s">
        <v>559</v>
      </c>
      <c r="C101" t="s">
        <v>477</v>
      </c>
      <c r="D101" t="s">
        <v>291</v>
      </c>
      <c r="E101" s="4" t="s">
        <v>296</v>
      </c>
      <c r="F101" t="s">
        <v>297</v>
      </c>
    </row>
    <row r="102" spans="1:6" x14ac:dyDescent="0.3">
      <c r="A102">
        <v>2</v>
      </c>
      <c r="B102" t="s">
        <v>478</v>
      </c>
      <c r="C102" t="s">
        <v>479</v>
      </c>
      <c r="D102" t="s">
        <v>279</v>
      </c>
      <c r="E102" s="4" t="s">
        <v>280</v>
      </c>
      <c r="F102" t="s">
        <v>281</v>
      </c>
    </row>
    <row r="103" spans="1:6" x14ac:dyDescent="0.3">
      <c r="A103">
        <v>12</v>
      </c>
      <c r="B103" t="s">
        <v>152</v>
      </c>
      <c r="C103" t="s">
        <v>480</v>
      </c>
      <c r="D103" t="s">
        <v>279</v>
      </c>
      <c r="E103" s="4" t="s">
        <v>280</v>
      </c>
      <c r="F103" t="s">
        <v>281</v>
      </c>
    </row>
    <row r="104" spans="1:6" x14ac:dyDescent="0.3">
      <c r="A104">
        <v>10</v>
      </c>
      <c r="B104" t="s">
        <v>481</v>
      </c>
      <c r="C104" t="s">
        <v>482</v>
      </c>
      <c r="D104" t="s">
        <v>279</v>
      </c>
      <c r="E104" s="4" t="s">
        <v>280</v>
      </c>
      <c r="F104" t="s">
        <v>281</v>
      </c>
    </row>
    <row r="105" spans="1:6" x14ac:dyDescent="0.3">
      <c r="A105">
        <v>4</v>
      </c>
      <c r="B105" t="s">
        <v>483</v>
      </c>
      <c r="C105" t="s">
        <v>484</v>
      </c>
      <c r="D105" t="s">
        <v>291</v>
      </c>
      <c r="E105" s="4" t="s">
        <v>296</v>
      </c>
      <c r="F105" t="s">
        <v>297</v>
      </c>
    </row>
    <row r="106" spans="1:6" x14ac:dyDescent="0.3">
      <c r="A106">
        <v>3</v>
      </c>
      <c r="B106" t="s">
        <v>547</v>
      </c>
      <c r="C106" t="s">
        <v>548</v>
      </c>
      <c r="D106" t="s">
        <v>279</v>
      </c>
      <c r="E106" s="4" t="s">
        <v>280</v>
      </c>
      <c r="F106" t="s">
        <v>288</v>
      </c>
    </row>
    <row r="107" spans="1:6" x14ac:dyDescent="0.3">
      <c r="A107">
        <v>13</v>
      </c>
      <c r="B107" t="s">
        <v>549</v>
      </c>
      <c r="C107" t="s">
        <v>550</v>
      </c>
      <c r="D107" t="s">
        <v>279</v>
      </c>
      <c r="E107" s="4" t="s">
        <v>280</v>
      </c>
      <c r="F107" t="s">
        <v>288</v>
      </c>
    </row>
    <row r="108" spans="1:6" x14ac:dyDescent="0.3">
      <c r="A108">
        <v>1</v>
      </c>
      <c r="B108" t="s">
        <v>551</v>
      </c>
      <c r="C108" t="s">
        <v>552</v>
      </c>
      <c r="D108" t="s">
        <v>279</v>
      </c>
      <c r="E108" s="4" t="s">
        <v>292</v>
      </c>
      <c r="F108" t="s">
        <v>293</v>
      </c>
    </row>
    <row r="109" spans="1:6" x14ac:dyDescent="0.3">
      <c r="A109">
        <v>2</v>
      </c>
      <c r="B109" t="s">
        <v>555</v>
      </c>
      <c r="C109" t="s">
        <v>556</v>
      </c>
      <c r="D109" t="s">
        <v>279</v>
      </c>
      <c r="E109" s="4" t="s">
        <v>296</v>
      </c>
      <c r="F109" t="s">
        <v>297</v>
      </c>
    </row>
    <row r="110" spans="1:6" x14ac:dyDescent="0.3">
      <c r="A110">
        <v>1</v>
      </c>
      <c r="B110" t="s">
        <v>557</v>
      </c>
      <c r="C110" t="s">
        <v>558</v>
      </c>
      <c r="D110" t="s">
        <v>279</v>
      </c>
      <c r="E110" s="4" t="s">
        <v>280</v>
      </c>
      <c r="F110" t="s">
        <v>288</v>
      </c>
    </row>
    <row r="111" spans="1:6" x14ac:dyDescent="0.3">
      <c r="A111">
        <v>15</v>
      </c>
      <c r="B111" t="s">
        <v>563</v>
      </c>
      <c r="C111" t="s">
        <v>564</v>
      </c>
      <c r="D111" t="s">
        <v>279</v>
      </c>
      <c r="E111" s="4" t="s">
        <v>280</v>
      </c>
      <c r="F111" t="s">
        <v>288</v>
      </c>
    </row>
    <row r="112" spans="1:6" x14ac:dyDescent="0.3">
      <c r="A112">
        <v>4</v>
      </c>
      <c r="B112" t="s">
        <v>575</v>
      </c>
      <c r="C112" t="s">
        <v>576</v>
      </c>
      <c r="D112" t="s">
        <v>291</v>
      </c>
      <c r="E112" s="4" t="s">
        <v>280</v>
      </c>
      <c r="F112" t="s">
        <v>288</v>
      </c>
    </row>
    <row r="113" spans="1:6" x14ac:dyDescent="0.3">
      <c r="A113">
        <v>4</v>
      </c>
      <c r="B113" t="s">
        <v>584</v>
      </c>
      <c r="C113" t="s">
        <v>585</v>
      </c>
      <c r="D113" t="s">
        <v>291</v>
      </c>
      <c r="E113" s="4" t="s">
        <v>292</v>
      </c>
      <c r="F113" t="s">
        <v>293</v>
      </c>
    </row>
    <row r="114" spans="1:6" x14ac:dyDescent="0.3">
      <c r="A114">
        <v>4</v>
      </c>
      <c r="B114" t="s">
        <v>587</v>
      </c>
      <c r="C114" t="s">
        <v>588</v>
      </c>
      <c r="D114" t="s">
        <v>279</v>
      </c>
      <c r="E114" s="4" t="s">
        <v>280</v>
      </c>
      <c r="F114" t="s">
        <v>281</v>
      </c>
    </row>
    <row r="115" spans="1:6" x14ac:dyDescent="0.3">
      <c r="A115">
        <v>1</v>
      </c>
      <c r="B115" t="s">
        <v>589</v>
      </c>
      <c r="C115" t="s">
        <v>590</v>
      </c>
      <c r="D115" t="s">
        <v>279</v>
      </c>
      <c r="E115" s="4" t="s">
        <v>280</v>
      </c>
      <c r="F115" t="s">
        <v>281</v>
      </c>
    </row>
    <row r="116" spans="1:6" x14ac:dyDescent="0.3">
      <c r="A116">
        <v>1</v>
      </c>
      <c r="B116" t="s">
        <v>593</v>
      </c>
      <c r="C116" t="s">
        <v>594</v>
      </c>
      <c r="D116" t="s">
        <v>279</v>
      </c>
      <c r="E116" s="4" t="s">
        <v>280</v>
      </c>
      <c r="F116" t="s">
        <v>288</v>
      </c>
    </row>
    <row r="117" spans="1:6" x14ac:dyDescent="0.3">
      <c r="A117">
        <v>1</v>
      </c>
      <c r="B117" t="s">
        <v>595</v>
      </c>
      <c r="C117" t="s">
        <v>596</v>
      </c>
      <c r="D117" t="s">
        <v>279</v>
      </c>
      <c r="E117" s="4" t="s">
        <v>280</v>
      </c>
      <c r="F117" t="s">
        <v>288</v>
      </c>
    </row>
    <row r="118" spans="1:6" x14ac:dyDescent="0.3">
      <c r="A118">
        <v>1</v>
      </c>
      <c r="B118" t="s">
        <v>600</v>
      </c>
      <c r="C118" t="s">
        <v>599</v>
      </c>
      <c r="D118" t="s">
        <v>279</v>
      </c>
      <c r="E118" s="4" t="s">
        <v>280</v>
      </c>
      <c r="F118" t="s">
        <v>288</v>
      </c>
    </row>
    <row r="119" spans="1:6" x14ac:dyDescent="0.3">
      <c r="A119">
        <v>3</v>
      </c>
      <c r="B119" t="s">
        <v>601</v>
      </c>
      <c r="C119" t="s">
        <v>602</v>
      </c>
      <c r="D119" t="s">
        <v>279</v>
      </c>
      <c r="E119" s="4" t="s">
        <v>280</v>
      </c>
      <c r="F119" t="s">
        <v>288</v>
      </c>
    </row>
    <row r="120" spans="1:6" x14ac:dyDescent="0.3">
      <c r="A120">
        <v>1</v>
      </c>
      <c r="B120" t="s">
        <v>603</v>
      </c>
      <c r="C120" t="s">
        <v>604</v>
      </c>
      <c r="D120" t="s">
        <v>279</v>
      </c>
      <c r="E120" s="4" t="s">
        <v>280</v>
      </c>
      <c r="F120" t="s">
        <v>281</v>
      </c>
    </row>
    <row r="121" spans="1:6" x14ac:dyDescent="0.3">
      <c r="A121">
        <v>1</v>
      </c>
      <c r="B121" t="s">
        <v>605</v>
      </c>
      <c r="C121" t="s">
        <v>606</v>
      </c>
      <c r="D121" t="s">
        <v>279</v>
      </c>
      <c r="E121" s="4" t="s">
        <v>280</v>
      </c>
      <c r="F121" t="s">
        <v>288</v>
      </c>
    </row>
    <row r="122" spans="1:6" x14ac:dyDescent="0.3">
      <c r="A122">
        <v>3</v>
      </c>
      <c r="B122" t="s">
        <v>774</v>
      </c>
      <c r="C122" t="s">
        <v>775</v>
      </c>
      <c r="D122" t="s">
        <v>279</v>
      </c>
      <c r="E122" s="4" t="s">
        <v>280</v>
      </c>
      <c r="F122" t="s">
        <v>288</v>
      </c>
    </row>
    <row r="123" spans="1:6" x14ac:dyDescent="0.3">
      <c r="A123">
        <v>6</v>
      </c>
      <c r="B123" t="s">
        <v>612</v>
      </c>
      <c r="C123" t="s">
        <v>613</v>
      </c>
      <c r="D123" t="s">
        <v>291</v>
      </c>
      <c r="E123" s="4" t="s">
        <v>296</v>
      </c>
      <c r="F123" t="s">
        <v>297</v>
      </c>
    </row>
    <row r="124" spans="1:6" x14ac:dyDescent="0.3">
      <c r="A124">
        <v>4</v>
      </c>
      <c r="B124" t="s">
        <v>615</v>
      </c>
      <c r="C124" t="s">
        <v>616</v>
      </c>
      <c r="D124" t="s">
        <v>279</v>
      </c>
      <c r="E124" s="4" t="s">
        <v>280</v>
      </c>
      <c r="F124" t="s">
        <v>281</v>
      </c>
    </row>
    <row r="125" spans="1:6" x14ac:dyDescent="0.3">
      <c r="A125">
        <v>1</v>
      </c>
      <c r="B125" t="s">
        <v>617</v>
      </c>
      <c r="C125" t="s">
        <v>618</v>
      </c>
      <c r="D125" t="s">
        <v>291</v>
      </c>
      <c r="E125" s="4" t="s">
        <v>296</v>
      </c>
      <c r="F125" t="s">
        <v>297</v>
      </c>
    </row>
    <row r="126" spans="1:6" x14ac:dyDescent="0.3">
      <c r="A126">
        <v>5</v>
      </c>
      <c r="B126" t="s">
        <v>619</v>
      </c>
      <c r="C126" t="s">
        <v>620</v>
      </c>
      <c r="D126" t="s">
        <v>291</v>
      </c>
      <c r="E126" s="4" t="s">
        <v>296</v>
      </c>
      <c r="F126" t="s">
        <v>297</v>
      </c>
    </row>
    <row r="127" spans="1:6" x14ac:dyDescent="0.3">
      <c r="A127">
        <v>4</v>
      </c>
      <c r="B127" t="s">
        <v>621</v>
      </c>
      <c r="C127" t="s">
        <v>622</v>
      </c>
      <c r="D127" t="s">
        <v>279</v>
      </c>
      <c r="E127" s="4" t="s">
        <v>280</v>
      </c>
      <c r="F127" t="s">
        <v>288</v>
      </c>
    </row>
    <row r="128" spans="1:6" x14ac:dyDescent="0.3">
      <c r="A128">
        <v>5</v>
      </c>
      <c r="B128" t="s">
        <v>625</v>
      </c>
      <c r="C128" t="s">
        <v>626</v>
      </c>
      <c r="D128" t="s">
        <v>279</v>
      </c>
      <c r="E128" s="4" t="s">
        <v>280</v>
      </c>
      <c r="F128" t="s">
        <v>281</v>
      </c>
    </row>
    <row r="129" spans="1:6" x14ac:dyDescent="0.3">
      <c r="A129">
        <v>2</v>
      </c>
      <c r="B129" t="s">
        <v>632</v>
      </c>
      <c r="C129" t="s">
        <v>633</v>
      </c>
      <c r="D129" t="s">
        <v>279</v>
      </c>
      <c r="E129" s="4" t="s">
        <v>280</v>
      </c>
      <c r="F129" t="s">
        <v>281</v>
      </c>
    </row>
    <row r="130" spans="1:6" x14ac:dyDescent="0.3">
      <c r="A130">
        <v>2</v>
      </c>
      <c r="B130" t="s">
        <v>647</v>
      </c>
      <c r="C130" t="s">
        <v>648</v>
      </c>
      <c r="D130" t="s">
        <v>279</v>
      </c>
      <c r="E130" s="4" t="s">
        <v>280</v>
      </c>
      <c r="F130" t="s">
        <v>288</v>
      </c>
    </row>
    <row r="131" spans="1:6" x14ac:dyDescent="0.3">
      <c r="A131">
        <v>2</v>
      </c>
      <c r="B131" t="s">
        <v>649</v>
      </c>
      <c r="C131" t="s">
        <v>650</v>
      </c>
      <c r="D131" t="s">
        <v>279</v>
      </c>
      <c r="E131" s="4" t="s">
        <v>280</v>
      </c>
      <c r="F131" t="s">
        <v>288</v>
      </c>
    </row>
    <row r="132" spans="1:6" x14ac:dyDescent="0.3">
      <c r="A132">
        <v>1</v>
      </c>
      <c r="B132" t="s">
        <v>654</v>
      </c>
      <c r="C132" t="s">
        <v>655</v>
      </c>
      <c r="D132" t="s">
        <v>279</v>
      </c>
      <c r="E132" s="4" t="s">
        <v>280</v>
      </c>
      <c r="F132" t="s">
        <v>288</v>
      </c>
    </row>
    <row r="133" spans="1:6" x14ac:dyDescent="0.3">
      <c r="A133">
        <v>2</v>
      </c>
      <c r="B133" t="s">
        <v>656</v>
      </c>
      <c r="C133" t="s">
        <v>657</v>
      </c>
      <c r="D133" t="s">
        <v>279</v>
      </c>
      <c r="E133" s="4" t="s">
        <v>280</v>
      </c>
      <c r="F133" t="s">
        <v>281</v>
      </c>
    </row>
    <row r="134" spans="1:6" x14ac:dyDescent="0.3">
      <c r="A134">
        <v>1</v>
      </c>
      <c r="B134" t="s">
        <v>663</v>
      </c>
      <c r="C134" t="s">
        <v>664</v>
      </c>
      <c r="D134" t="s">
        <v>279</v>
      </c>
      <c r="E134" s="4" t="s">
        <v>280</v>
      </c>
      <c r="F134" t="s">
        <v>281</v>
      </c>
    </row>
    <row r="135" spans="1:6" x14ac:dyDescent="0.3">
      <c r="A135">
        <v>2</v>
      </c>
      <c r="B135" t="s">
        <v>669</v>
      </c>
      <c r="C135" t="s">
        <v>670</v>
      </c>
      <c r="D135" t="s">
        <v>279</v>
      </c>
      <c r="E135" s="4" t="s">
        <v>280</v>
      </c>
      <c r="F135" t="s">
        <v>288</v>
      </c>
    </row>
    <row r="136" spans="1:6" x14ac:dyDescent="0.3">
      <c r="A136">
        <v>1</v>
      </c>
      <c r="B136" t="s">
        <v>675</v>
      </c>
      <c r="C136" t="s">
        <v>676</v>
      </c>
      <c r="D136" t="s">
        <v>279</v>
      </c>
      <c r="E136" s="4" t="s">
        <v>280</v>
      </c>
      <c r="F136" t="s">
        <v>288</v>
      </c>
    </row>
    <row r="137" spans="1:6" x14ac:dyDescent="0.3">
      <c r="A137">
        <v>14</v>
      </c>
      <c r="B137" t="s">
        <v>682</v>
      </c>
      <c r="C137" t="s">
        <v>790</v>
      </c>
      <c r="D137" t="s">
        <v>279</v>
      </c>
      <c r="E137" s="4" t="s">
        <v>280</v>
      </c>
      <c r="F137" t="s">
        <v>288</v>
      </c>
    </row>
    <row r="138" spans="1:6" x14ac:dyDescent="0.3">
      <c r="A138">
        <v>4</v>
      </c>
      <c r="B138" t="s">
        <v>685</v>
      </c>
      <c r="C138" t="s">
        <v>686</v>
      </c>
      <c r="D138" t="s">
        <v>279</v>
      </c>
      <c r="E138" s="4" t="s">
        <v>280</v>
      </c>
      <c r="F138" t="s">
        <v>288</v>
      </c>
    </row>
    <row r="139" spans="1:6" x14ac:dyDescent="0.3">
      <c r="A139">
        <v>4</v>
      </c>
      <c r="B139" t="s">
        <v>694</v>
      </c>
      <c r="C139" t="s">
        <v>695</v>
      </c>
      <c r="D139" t="s">
        <v>291</v>
      </c>
      <c r="E139" s="4" t="s">
        <v>296</v>
      </c>
      <c r="F139" t="s">
        <v>297</v>
      </c>
    </row>
    <row r="140" spans="1:6" x14ac:dyDescent="0.3">
      <c r="A140">
        <v>1</v>
      </c>
      <c r="B140" t="s">
        <v>704</v>
      </c>
      <c r="C140" t="s">
        <v>705</v>
      </c>
      <c r="D140" t="s">
        <v>291</v>
      </c>
      <c r="E140" s="4" t="s">
        <v>296</v>
      </c>
      <c r="F140" t="s">
        <v>297</v>
      </c>
    </row>
    <row r="141" spans="1:6" x14ac:dyDescent="0.3">
      <c r="A141">
        <v>1</v>
      </c>
      <c r="B141" t="s">
        <v>710</v>
      </c>
      <c r="C141" t="s">
        <v>711</v>
      </c>
      <c r="D141" t="s">
        <v>279</v>
      </c>
      <c r="E141" s="4" t="s">
        <v>280</v>
      </c>
      <c r="F141" t="s">
        <v>288</v>
      </c>
    </row>
    <row r="142" spans="1:6" x14ac:dyDescent="0.3">
      <c r="A142">
        <v>1</v>
      </c>
      <c r="B142" t="s">
        <v>714</v>
      </c>
      <c r="C142" t="s">
        <v>715</v>
      </c>
      <c r="D142" t="s">
        <v>291</v>
      </c>
      <c r="E142" s="4" t="s">
        <v>296</v>
      </c>
      <c r="F142" t="s">
        <v>297</v>
      </c>
    </row>
    <row r="143" spans="1:6" x14ac:dyDescent="0.3">
      <c r="A143">
        <v>1</v>
      </c>
      <c r="B143" t="s">
        <v>717</v>
      </c>
      <c r="C143" t="s">
        <v>718</v>
      </c>
      <c r="D143" t="s">
        <v>291</v>
      </c>
      <c r="E143" s="4" t="s">
        <v>296</v>
      </c>
      <c r="F143" t="s">
        <v>297</v>
      </c>
    </row>
    <row r="144" spans="1:6" x14ac:dyDescent="0.3">
      <c r="A144">
        <v>3</v>
      </c>
      <c r="B144" t="s">
        <v>719</v>
      </c>
      <c r="C144" t="s">
        <v>720</v>
      </c>
      <c r="D144" t="s">
        <v>279</v>
      </c>
      <c r="E144" s="4" t="s">
        <v>280</v>
      </c>
      <c r="F144" t="s">
        <v>288</v>
      </c>
    </row>
    <row r="145" spans="1:6" x14ac:dyDescent="0.3">
      <c r="A145">
        <v>1</v>
      </c>
      <c r="B145" t="s">
        <v>723</v>
      </c>
      <c r="C145" t="s">
        <v>724</v>
      </c>
      <c r="D145" t="s">
        <v>279</v>
      </c>
      <c r="E145" s="4" t="s">
        <v>280</v>
      </c>
      <c r="F145" t="s">
        <v>288</v>
      </c>
    </row>
    <row r="146" spans="1:6" x14ac:dyDescent="0.3">
      <c r="A146">
        <v>4</v>
      </c>
      <c r="B146" t="s">
        <v>727</v>
      </c>
      <c r="C146" t="s">
        <v>1026</v>
      </c>
      <c r="D146" t="s">
        <v>279</v>
      </c>
      <c r="E146" s="4" t="s">
        <v>280</v>
      </c>
      <c r="F146" t="s">
        <v>288</v>
      </c>
    </row>
    <row r="147" spans="1:6" x14ac:dyDescent="0.3">
      <c r="A147">
        <v>2</v>
      </c>
      <c r="B147" t="s">
        <v>743</v>
      </c>
      <c r="C147" t="s">
        <v>744</v>
      </c>
      <c r="D147" t="s">
        <v>291</v>
      </c>
      <c r="E147" s="4" t="s">
        <v>296</v>
      </c>
      <c r="F147" t="s">
        <v>297</v>
      </c>
    </row>
    <row r="148" spans="1:6" x14ac:dyDescent="0.3">
      <c r="A148">
        <v>2</v>
      </c>
      <c r="B148" t="s">
        <v>747</v>
      </c>
      <c r="C148" t="s">
        <v>748</v>
      </c>
      <c r="D148" t="s">
        <v>279</v>
      </c>
      <c r="E148" s="4" t="s">
        <v>280</v>
      </c>
      <c r="F148" t="s">
        <v>288</v>
      </c>
    </row>
    <row r="149" spans="1:6" x14ac:dyDescent="0.3">
      <c r="A149">
        <v>1</v>
      </c>
      <c r="B149" t="s">
        <v>755</v>
      </c>
      <c r="C149" t="s">
        <v>756</v>
      </c>
      <c r="D149" t="s">
        <v>279</v>
      </c>
      <c r="E149" s="4" t="s">
        <v>280</v>
      </c>
      <c r="F149" t="s">
        <v>288</v>
      </c>
    </row>
    <row r="150" spans="1:6" x14ac:dyDescent="0.3">
      <c r="A150">
        <v>1</v>
      </c>
      <c r="B150" t="s">
        <v>757</v>
      </c>
      <c r="C150" t="s">
        <v>758</v>
      </c>
      <c r="D150" t="s">
        <v>279</v>
      </c>
      <c r="E150" s="4" t="s">
        <v>280</v>
      </c>
      <c r="F150" t="s">
        <v>281</v>
      </c>
    </row>
    <row r="151" spans="1:6" x14ac:dyDescent="0.3">
      <c r="A151">
        <v>2</v>
      </c>
      <c r="B151" t="s">
        <v>761</v>
      </c>
      <c r="C151" t="s">
        <v>762</v>
      </c>
      <c r="D151" t="s">
        <v>279</v>
      </c>
      <c r="E151" s="4" t="s">
        <v>280</v>
      </c>
      <c r="F151" t="s">
        <v>281</v>
      </c>
    </row>
    <row r="152" spans="1:6" x14ac:dyDescent="0.3">
      <c r="A152">
        <v>1</v>
      </c>
      <c r="B152" t="s">
        <v>765</v>
      </c>
      <c r="C152" t="s">
        <v>766</v>
      </c>
      <c r="D152" t="s">
        <v>279</v>
      </c>
      <c r="E152" s="4" t="s">
        <v>280</v>
      </c>
      <c r="F152" t="s">
        <v>288</v>
      </c>
    </row>
    <row r="153" spans="1:6" x14ac:dyDescent="0.3">
      <c r="A153">
        <v>1</v>
      </c>
      <c r="B153" t="s">
        <v>767</v>
      </c>
      <c r="C153" t="s">
        <v>768</v>
      </c>
      <c r="D153" t="s">
        <v>279</v>
      </c>
      <c r="E153" s="4" t="s">
        <v>280</v>
      </c>
      <c r="F153" t="s">
        <v>281</v>
      </c>
    </row>
    <row r="154" spans="1:6" x14ac:dyDescent="0.3">
      <c r="A154">
        <v>2</v>
      </c>
      <c r="B154" t="s">
        <v>777</v>
      </c>
      <c r="C154" t="s">
        <v>778</v>
      </c>
      <c r="D154" t="s">
        <v>279</v>
      </c>
      <c r="E154" s="4" t="s">
        <v>280</v>
      </c>
      <c r="F154" t="s">
        <v>281</v>
      </c>
    </row>
    <row r="155" spans="1:6" x14ac:dyDescent="0.3">
      <c r="A155">
        <v>1</v>
      </c>
      <c r="B155" t="s">
        <v>783</v>
      </c>
      <c r="C155" t="s">
        <v>784</v>
      </c>
      <c r="D155" t="s">
        <v>279</v>
      </c>
      <c r="E155" s="4" t="s">
        <v>280</v>
      </c>
      <c r="F155" t="s">
        <v>288</v>
      </c>
    </row>
    <row r="156" spans="1:6" x14ac:dyDescent="0.3">
      <c r="A156">
        <v>1</v>
      </c>
      <c r="B156" t="s">
        <v>926</v>
      </c>
      <c r="C156" t="s">
        <v>789</v>
      </c>
      <c r="D156" t="s">
        <v>279</v>
      </c>
      <c r="E156" s="4" t="s">
        <v>280</v>
      </c>
      <c r="F156" t="s">
        <v>281</v>
      </c>
    </row>
    <row r="157" spans="1:6" x14ac:dyDescent="0.3">
      <c r="A157">
        <v>2</v>
      </c>
      <c r="B157" t="s">
        <v>793</v>
      </c>
      <c r="C157" t="s">
        <v>794</v>
      </c>
      <c r="D157" t="s">
        <v>279</v>
      </c>
      <c r="E157" s="4" t="s">
        <v>280</v>
      </c>
      <c r="F157" t="s">
        <v>281</v>
      </c>
    </row>
    <row r="158" spans="1:6" x14ac:dyDescent="0.3">
      <c r="A158">
        <v>20</v>
      </c>
      <c r="B158" t="s">
        <v>797</v>
      </c>
      <c r="C158" t="s">
        <v>798</v>
      </c>
      <c r="D158" t="s">
        <v>279</v>
      </c>
      <c r="E158" s="4" t="s">
        <v>280</v>
      </c>
      <c r="F158" t="s">
        <v>281</v>
      </c>
    </row>
    <row r="159" spans="1:6" x14ac:dyDescent="0.3">
      <c r="A159">
        <v>16</v>
      </c>
      <c r="B159" t="s">
        <v>801</v>
      </c>
      <c r="C159" t="s">
        <v>1033</v>
      </c>
      <c r="D159" t="s">
        <v>279</v>
      </c>
      <c r="E159" s="4" t="s">
        <v>280</v>
      </c>
      <c r="F159" t="s">
        <v>288</v>
      </c>
    </row>
    <row r="160" spans="1:6" x14ac:dyDescent="0.3">
      <c r="A160">
        <v>1</v>
      </c>
      <c r="B160" t="s">
        <v>807</v>
      </c>
      <c r="C160" t="s">
        <v>808</v>
      </c>
      <c r="D160" t="s">
        <v>279</v>
      </c>
      <c r="E160" s="4" t="s">
        <v>280</v>
      </c>
      <c r="F160" t="s">
        <v>281</v>
      </c>
    </row>
    <row r="161" spans="1:6" x14ac:dyDescent="0.3">
      <c r="A161">
        <v>1</v>
      </c>
      <c r="B161" t="s">
        <v>812</v>
      </c>
      <c r="C161" t="s">
        <v>813</v>
      </c>
      <c r="D161" t="s">
        <v>279</v>
      </c>
      <c r="E161" s="4" t="s">
        <v>280</v>
      </c>
      <c r="F161" t="s">
        <v>281</v>
      </c>
    </row>
    <row r="162" spans="1:6" x14ac:dyDescent="0.3">
      <c r="A162">
        <v>1</v>
      </c>
      <c r="B162" t="s">
        <v>817</v>
      </c>
      <c r="C162" t="s">
        <v>818</v>
      </c>
      <c r="D162" t="s">
        <v>291</v>
      </c>
      <c r="E162" s="4" t="s">
        <v>296</v>
      </c>
      <c r="F162" t="s">
        <v>297</v>
      </c>
    </row>
    <row r="163" spans="1:6" x14ac:dyDescent="0.3">
      <c r="A163">
        <v>13</v>
      </c>
      <c r="B163" t="s">
        <v>861</v>
      </c>
      <c r="C163" t="s">
        <v>821</v>
      </c>
      <c r="D163" t="s">
        <v>279</v>
      </c>
      <c r="E163" s="4" t="s">
        <v>280</v>
      </c>
      <c r="F163" t="s">
        <v>281</v>
      </c>
    </row>
    <row r="164" spans="1:6" x14ac:dyDescent="0.3">
      <c r="A164">
        <v>1</v>
      </c>
      <c r="B164" t="s">
        <v>828</v>
      </c>
      <c r="C164" t="s">
        <v>829</v>
      </c>
      <c r="D164" t="s">
        <v>279</v>
      </c>
      <c r="E164" s="4" t="s">
        <v>280</v>
      </c>
      <c r="F164" t="s">
        <v>288</v>
      </c>
    </row>
    <row r="165" spans="1:6" x14ac:dyDescent="0.3">
      <c r="A165">
        <v>1</v>
      </c>
      <c r="B165" t="s">
        <v>832</v>
      </c>
      <c r="C165" t="s">
        <v>833</v>
      </c>
      <c r="D165" t="s">
        <v>279</v>
      </c>
      <c r="E165" s="4" t="s">
        <v>296</v>
      </c>
      <c r="F165" t="s">
        <v>297</v>
      </c>
    </row>
    <row r="166" spans="1:6" x14ac:dyDescent="0.3">
      <c r="A166">
        <v>1</v>
      </c>
      <c r="B166" t="s">
        <v>843</v>
      </c>
      <c r="C166" t="s">
        <v>842</v>
      </c>
      <c r="D166" t="s">
        <v>279</v>
      </c>
      <c r="E166" s="4" t="s">
        <v>280</v>
      </c>
      <c r="F166" t="s">
        <v>281</v>
      </c>
    </row>
    <row r="167" spans="1:6" x14ac:dyDescent="0.3">
      <c r="A167">
        <v>1</v>
      </c>
      <c r="B167" t="s">
        <v>846</v>
      </c>
      <c r="C167" t="s">
        <v>847</v>
      </c>
      <c r="D167" t="s">
        <v>279</v>
      </c>
      <c r="E167" s="4" t="s">
        <v>280</v>
      </c>
      <c r="F167" t="s">
        <v>288</v>
      </c>
    </row>
    <row r="168" spans="1:6" x14ac:dyDescent="0.3">
      <c r="A168">
        <v>1</v>
      </c>
      <c r="B168" t="s">
        <v>850</v>
      </c>
      <c r="C168" t="s">
        <v>851</v>
      </c>
      <c r="D168" t="s">
        <v>279</v>
      </c>
      <c r="E168" s="4" t="s">
        <v>280</v>
      </c>
      <c r="F168" t="s">
        <v>288</v>
      </c>
    </row>
    <row r="169" spans="1:6" x14ac:dyDescent="0.3">
      <c r="A169">
        <v>1</v>
      </c>
      <c r="B169" t="s">
        <v>854</v>
      </c>
      <c r="C169" t="s">
        <v>855</v>
      </c>
      <c r="D169" t="s">
        <v>291</v>
      </c>
      <c r="E169" s="4" t="s">
        <v>296</v>
      </c>
      <c r="F169" t="s">
        <v>297</v>
      </c>
    </row>
    <row r="170" spans="1:6" x14ac:dyDescent="0.3">
      <c r="A170">
        <v>1</v>
      </c>
      <c r="B170" t="s">
        <v>856</v>
      </c>
      <c r="C170" t="s">
        <v>857</v>
      </c>
      <c r="D170" t="s">
        <v>279</v>
      </c>
      <c r="E170" s="4" t="s">
        <v>280</v>
      </c>
      <c r="F170" t="s">
        <v>281</v>
      </c>
    </row>
    <row r="171" spans="1:6" x14ac:dyDescent="0.3">
      <c r="A171">
        <v>8</v>
      </c>
      <c r="B171" t="s">
        <v>863</v>
      </c>
      <c r="C171" t="s">
        <v>862</v>
      </c>
      <c r="D171" t="s">
        <v>279</v>
      </c>
      <c r="E171" s="4" t="s">
        <v>280</v>
      </c>
      <c r="F171" t="s">
        <v>281</v>
      </c>
    </row>
    <row r="172" spans="1:6" x14ac:dyDescent="0.3">
      <c r="A172">
        <v>1</v>
      </c>
      <c r="B172" t="s">
        <v>864</v>
      </c>
      <c r="C172" t="s">
        <v>865</v>
      </c>
      <c r="D172" t="s">
        <v>291</v>
      </c>
      <c r="E172" s="4" t="s">
        <v>296</v>
      </c>
      <c r="F172" t="s">
        <v>297</v>
      </c>
    </row>
    <row r="173" spans="1:6" x14ac:dyDescent="0.3">
      <c r="A173">
        <v>1</v>
      </c>
      <c r="B173" t="s">
        <v>868</v>
      </c>
      <c r="C173" t="s">
        <v>869</v>
      </c>
      <c r="D173" t="s">
        <v>291</v>
      </c>
      <c r="E173" s="4" t="s">
        <v>296</v>
      </c>
      <c r="F173" t="s">
        <v>297</v>
      </c>
    </row>
    <row r="174" spans="1:6" x14ac:dyDescent="0.3">
      <c r="A174">
        <v>3</v>
      </c>
      <c r="B174" t="s">
        <v>871</v>
      </c>
      <c r="C174" t="s">
        <v>872</v>
      </c>
      <c r="D174" t="s">
        <v>279</v>
      </c>
      <c r="E174" s="4" t="s">
        <v>280</v>
      </c>
      <c r="F174" t="s">
        <v>281</v>
      </c>
    </row>
    <row r="175" spans="1:6" x14ac:dyDescent="0.3">
      <c r="A175">
        <v>1</v>
      </c>
      <c r="B175" t="s">
        <v>873</v>
      </c>
      <c r="C175" t="s">
        <v>874</v>
      </c>
      <c r="D175" t="s">
        <v>279</v>
      </c>
      <c r="E175" s="4" t="s">
        <v>280</v>
      </c>
      <c r="F175" t="s">
        <v>281</v>
      </c>
    </row>
    <row r="176" spans="1:6" x14ac:dyDescent="0.3">
      <c r="A176">
        <v>7</v>
      </c>
      <c r="B176" t="s">
        <v>875</v>
      </c>
      <c r="C176" t="s">
        <v>876</v>
      </c>
      <c r="D176" t="s">
        <v>279</v>
      </c>
      <c r="E176" s="4" t="s">
        <v>280</v>
      </c>
      <c r="F176" t="s">
        <v>281</v>
      </c>
    </row>
    <row r="177" spans="1:6" x14ac:dyDescent="0.3">
      <c r="A177">
        <v>2</v>
      </c>
      <c r="B177" t="s">
        <v>878</v>
      </c>
      <c r="C177" t="s">
        <v>879</v>
      </c>
      <c r="D177" t="s">
        <v>279</v>
      </c>
      <c r="E177" s="4" t="s">
        <v>280</v>
      </c>
      <c r="F177" t="s">
        <v>281</v>
      </c>
    </row>
    <row r="178" spans="1:6" x14ac:dyDescent="0.3">
      <c r="A178">
        <v>1</v>
      </c>
      <c r="B178" t="s">
        <v>883</v>
      </c>
      <c r="C178" t="s">
        <v>884</v>
      </c>
      <c r="D178" t="s">
        <v>279</v>
      </c>
      <c r="E178" s="4" t="s">
        <v>280</v>
      </c>
      <c r="F178" t="s">
        <v>281</v>
      </c>
    </row>
    <row r="179" spans="1:6" x14ac:dyDescent="0.3">
      <c r="A179">
        <v>2</v>
      </c>
      <c r="B179" t="s">
        <v>885</v>
      </c>
      <c r="C179" s="5" t="s">
        <v>886</v>
      </c>
      <c r="D179" t="s">
        <v>279</v>
      </c>
      <c r="E179" s="4" t="s">
        <v>280</v>
      </c>
      <c r="F179" t="s">
        <v>281</v>
      </c>
    </row>
    <row r="180" spans="1:6" x14ac:dyDescent="0.3">
      <c r="A180">
        <v>2</v>
      </c>
      <c r="B180" t="s">
        <v>887</v>
      </c>
      <c r="C180" t="s">
        <v>888</v>
      </c>
      <c r="D180" t="s">
        <v>279</v>
      </c>
      <c r="E180" s="4" t="s">
        <v>280</v>
      </c>
      <c r="F180" t="s">
        <v>281</v>
      </c>
    </row>
    <row r="181" spans="1:6" x14ac:dyDescent="0.3">
      <c r="A181">
        <v>1</v>
      </c>
      <c r="B181" t="s">
        <v>890</v>
      </c>
      <c r="C181" t="s">
        <v>891</v>
      </c>
      <c r="D181" t="s">
        <v>279</v>
      </c>
      <c r="E181" s="4" t="s">
        <v>280</v>
      </c>
      <c r="F181" t="s">
        <v>281</v>
      </c>
    </row>
    <row r="182" spans="1:6" x14ac:dyDescent="0.3">
      <c r="A182">
        <v>1</v>
      </c>
      <c r="B182" t="s">
        <v>896</v>
      </c>
      <c r="C182" t="s">
        <v>897</v>
      </c>
      <c r="D182" t="s">
        <v>279</v>
      </c>
      <c r="E182" s="4" t="s">
        <v>280</v>
      </c>
      <c r="F182" t="s">
        <v>281</v>
      </c>
    </row>
    <row r="183" spans="1:6" x14ac:dyDescent="0.3">
      <c r="A183">
        <v>1</v>
      </c>
      <c r="B183" t="s">
        <v>903</v>
      </c>
      <c r="C183" t="s">
        <v>904</v>
      </c>
      <c r="D183" t="s">
        <v>279</v>
      </c>
    </row>
    <row r="184" spans="1:6" x14ac:dyDescent="0.3">
      <c r="A184">
        <v>4</v>
      </c>
      <c r="B184" t="s">
        <v>913</v>
      </c>
      <c r="C184" t="s">
        <v>914</v>
      </c>
      <c r="D184" t="s">
        <v>279</v>
      </c>
    </row>
    <row r="185" spans="1:6" x14ac:dyDescent="0.3">
      <c r="A185">
        <v>1</v>
      </c>
      <c r="B185" t="s">
        <v>915</v>
      </c>
      <c r="C185" t="s">
        <v>916</v>
      </c>
      <c r="D185" t="s">
        <v>279</v>
      </c>
    </row>
    <row r="186" spans="1:6" x14ac:dyDescent="0.3">
      <c r="A186">
        <v>1</v>
      </c>
      <c r="B186" t="s">
        <v>919</v>
      </c>
      <c r="C186" t="s">
        <v>920</v>
      </c>
      <c r="D186" t="s">
        <v>279</v>
      </c>
    </row>
    <row r="187" spans="1:6" x14ac:dyDescent="0.3">
      <c r="A187">
        <v>3</v>
      </c>
      <c r="B187" t="s">
        <v>921</v>
      </c>
      <c r="C187" t="s">
        <v>922</v>
      </c>
      <c r="D187" t="s">
        <v>279</v>
      </c>
    </row>
    <row r="188" spans="1:6" x14ac:dyDescent="0.3">
      <c r="A188">
        <v>2</v>
      </c>
      <c r="B188" t="s">
        <v>927</v>
      </c>
      <c r="C188" t="s">
        <v>1019</v>
      </c>
      <c r="D188" t="s">
        <v>279</v>
      </c>
    </row>
    <row r="189" spans="1:6" x14ac:dyDescent="0.3">
      <c r="A189">
        <v>1</v>
      </c>
      <c r="B189" t="s">
        <v>941</v>
      </c>
      <c r="C189" t="s">
        <v>942</v>
      </c>
      <c r="D189" t="s">
        <v>279</v>
      </c>
    </row>
    <row r="190" spans="1:6" x14ac:dyDescent="0.3">
      <c r="A190">
        <v>1</v>
      </c>
      <c r="B190" t="s">
        <v>945</v>
      </c>
      <c r="C190" t="s">
        <v>946</v>
      </c>
      <c r="D190" t="s">
        <v>279</v>
      </c>
    </row>
    <row r="191" spans="1:6" x14ac:dyDescent="0.3">
      <c r="A191">
        <v>1</v>
      </c>
      <c r="B191" t="s">
        <v>950</v>
      </c>
      <c r="C191" t="s">
        <v>951</v>
      </c>
      <c r="D191" t="s">
        <v>279</v>
      </c>
    </row>
    <row r="192" spans="1:6" x14ac:dyDescent="0.3">
      <c r="A192">
        <v>1</v>
      </c>
      <c r="B192" t="s">
        <v>964</v>
      </c>
      <c r="C192" t="s">
        <v>965</v>
      </c>
      <c r="D192" t="s">
        <v>279</v>
      </c>
    </row>
    <row r="193" spans="1:4" x14ac:dyDescent="0.3">
      <c r="A193">
        <v>1</v>
      </c>
      <c r="B193" t="s">
        <v>968</v>
      </c>
      <c r="C193" t="s">
        <v>969</v>
      </c>
      <c r="D193" t="s">
        <v>279</v>
      </c>
    </row>
    <row r="194" spans="1:4" x14ac:dyDescent="0.3">
      <c r="A194">
        <v>1</v>
      </c>
      <c r="B194" t="s">
        <v>972</v>
      </c>
      <c r="C194" t="s">
        <v>973</v>
      </c>
      <c r="D194" t="s">
        <v>279</v>
      </c>
    </row>
    <row r="195" spans="1:4" x14ac:dyDescent="0.3">
      <c r="A195">
        <v>2</v>
      </c>
      <c r="B195" t="s">
        <v>984</v>
      </c>
      <c r="C195" t="s">
        <v>985</v>
      </c>
      <c r="D195" t="s">
        <v>279</v>
      </c>
    </row>
    <row r="196" spans="1:4" x14ac:dyDescent="0.3">
      <c r="A196">
        <v>1</v>
      </c>
      <c r="B196" t="s">
        <v>988</v>
      </c>
      <c r="C196" t="s">
        <v>989</v>
      </c>
      <c r="D196" t="s">
        <v>279</v>
      </c>
    </row>
    <row r="197" spans="1:4" x14ac:dyDescent="0.3">
      <c r="A197">
        <v>1</v>
      </c>
      <c r="B197" t="s">
        <v>990</v>
      </c>
      <c r="C197" t="s">
        <v>991</v>
      </c>
      <c r="D197" t="s">
        <v>291</v>
      </c>
    </row>
    <row r="198" spans="1:4" x14ac:dyDescent="0.3">
      <c r="A198">
        <v>1</v>
      </c>
      <c r="B198" t="s">
        <v>998</v>
      </c>
      <c r="C198" t="s">
        <v>999</v>
      </c>
      <c r="D198" t="s">
        <v>279</v>
      </c>
    </row>
    <row r="199" spans="1:4" x14ac:dyDescent="0.3">
      <c r="A199">
        <v>1</v>
      </c>
      <c r="B199" t="s">
        <v>1006</v>
      </c>
      <c r="C199" t="s">
        <v>1007</v>
      </c>
      <c r="D199" t="s">
        <v>291</v>
      </c>
    </row>
    <row r="200" spans="1:4" x14ac:dyDescent="0.3">
      <c r="A200">
        <v>1</v>
      </c>
      <c r="B200" t="s">
        <v>1012</v>
      </c>
      <c r="C200" t="s">
        <v>1011</v>
      </c>
      <c r="D200" t="s">
        <v>291</v>
      </c>
    </row>
    <row r="201" spans="1:4" x14ac:dyDescent="0.3">
      <c r="A201">
        <v>1</v>
      </c>
      <c r="B201" t="s">
        <v>1013</v>
      </c>
      <c r="C201" t="s">
        <v>1014</v>
      </c>
      <c r="D201" t="s">
        <v>279</v>
      </c>
    </row>
    <row r="202" spans="1:4" x14ac:dyDescent="0.3">
      <c r="A202">
        <v>1</v>
      </c>
      <c r="B202" t="s">
        <v>1015</v>
      </c>
      <c r="C202" t="s">
        <v>1016</v>
      </c>
      <c r="D202" t="s">
        <v>279</v>
      </c>
    </row>
    <row r="203" spans="1:4" x14ac:dyDescent="0.3">
      <c r="A203">
        <v>1</v>
      </c>
      <c r="B203" t="s">
        <v>1017</v>
      </c>
      <c r="C203" t="s">
        <v>1018</v>
      </c>
      <c r="D203" t="s">
        <v>279</v>
      </c>
    </row>
    <row r="204" spans="1:4" x14ac:dyDescent="0.3">
      <c r="A204">
        <v>1</v>
      </c>
      <c r="B204" t="s">
        <v>1020</v>
      </c>
      <c r="C204" t="s">
        <v>1021</v>
      </c>
      <c r="D204" t="s">
        <v>279</v>
      </c>
    </row>
    <row r="205" spans="1:4" x14ac:dyDescent="0.3">
      <c r="A205">
        <v>1</v>
      </c>
      <c r="B205" t="s">
        <v>1022</v>
      </c>
      <c r="C205" t="s">
        <v>1023</v>
      </c>
      <c r="D205" t="s">
        <v>279</v>
      </c>
    </row>
    <row r="206" spans="1:4" x14ac:dyDescent="0.3">
      <c r="A206">
        <v>3</v>
      </c>
      <c r="B206" t="s">
        <v>1027</v>
      </c>
      <c r="C206" t="s">
        <v>1028</v>
      </c>
      <c r="D206" t="s">
        <v>279</v>
      </c>
    </row>
    <row r="207" spans="1:4" x14ac:dyDescent="0.3">
      <c r="A207">
        <v>1</v>
      </c>
      <c r="B207" t="s">
        <v>1029</v>
      </c>
      <c r="C207" t="s">
        <v>1030</v>
      </c>
      <c r="D207" t="s">
        <v>279</v>
      </c>
    </row>
    <row r="208" spans="1:4" x14ac:dyDescent="0.3">
      <c r="A208">
        <v>1</v>
      </c>
      <c r="B208" t="s">
        <v>1031</v>
      </c>
      <c r="C208" t="s">
        <v>1032</v>
      </c>
      <c r="D208" t="s">
        <v>279</v>
      </c>
    </row>
    <row r="209" spans="1:4" x14ac:dyDescent="0.3">
      <c r="A209">
        <v>1</v>
      </c>
      <c r="B209" t="s">
        <v>1034</v>
      </c>
      <c r="C209" t="s">
        <v>1035</v>
      </c>
      <c r="D209" t="s">
        <v>279</v>
      </c>
    </row>
    <row r="210" spans="1:4" x14ac:dyDescent="0.3">
      <c r="A210">
        <v>1</v>
      </c>
      <c r="B210" t="s">
        <v>1036</v>
      </c>
      <c r="C210" t="s">
        <v>1037</v>
      </c>
      <c r="D210" t="s">
        <v>279</v>
      </c>
    </row>
    <row r="211" spans="1:4" x14ac:dyDescent="0.3">
      <c r="A211">
        <v>1</v>
      </c>
      <c r="B211" t="s">
        <v>1038</v>
      </c>
      <c r="C211" t="s">
        <v>1039</v>
      </c>
      <c r="D211" t="s">
        <v>279</v>
      </c>
    </row>
  </sheetData>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Fechar_chamado">
                <anchor moveWithCells="1" sizeWithCells="1">
                  <from>
                    <xdr:col>1</xdr:col>
                    <xdr:colOff>2354580</xdr:colOff>
                    <xdr:row>0</xdr:row>
                    <xdr:rowOff>60960</xdr:rowOff>
                  </from>
                  <to>
                    <xdr:col>1</xdr:col>
                    <xdr:colOff>3832860</xdr:colOff>
                    <xdr:row>0</xdr:row>
                    <xdr:rowOff>274320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E200-19BA-4782-B20D-2413D823D35C}">
  <sheetPr codeName="Planilha4"/>
  <dimension ref="A1:F16"/>
  <sheetViews>
    <sheetView workbookViewId="0">
      <selection activeCell="I7" sqref="I7"/>
    </sheetView>
  </sheetViews>
  <sheetFormatPr defaultRowHeight="14.4" x14ac:dyDescent="0.3"/>
  <cols>
    <col min="1" max="2" width="10.5546875" style="11" bestFit="1" customWidth="1"/>
    <col min="3" max="3" width="12" customWidth="1"/>
    <col min="4" max="4" width="10.88671875" customWidth="1"/>
    <col min="5" max="5" width="23.88671875" customWidth="1"/>
  </cols>
  <sheetData>
    <row r="1" spans="1:6" x14ac:dyDescent="0.3">
      <c r="A1" s="11" t="s">
        <v>769</v>
      </c>
      <c r="B1" s="11" t="s">
        <v>770</v>
      </c>
      <c r="C1" t="s">
        <v>771</v>
      </c>
      <c r="D1" t="s">
        <v>772</v>
      </c>
      <c r="E1" t="s">
        <v>773</v>
      </c>
      <c r="F1" t="s">
        <v>785</v>
      </c>
    </row>
    <row r="2" spans="1:6" x14ac:dyDescent="0.3">
      <c r="A2" s="11">
        <f t="shared" ref="A2:A7" si="0">A3+7</f>
        <v>44907</v>
      </c>
      <c r="B2" s="11">
        <f>A2+4</f>
        <v>44911</v>
      </c>
      <c r="F2">
        <f>Tabela5[[#This Row],[Incidentes]]+Tabela5[[#This Row],[Requests]]</f>
        <v>0</v>
      </c>
    </row>
    <row r="3" spans="1:6" x14ac:dyDescent="0.3">
      <c r="A3" s="11">
        <f t="shared" si="0"/>
        <v>44900</v>
      </c>
      <c r="B3" s="11">
        <f>A3+4</f>
        <v>44904</v>
      </c>
      <c r="C3">
        <v>13</v>
      </c>
      <c r="D3">
        <v>6</v>
      </c>
      <c r="E3">
        <v>0</v>
      </c>
      <c r="F3">
        <f>Tabela5[[#This Row],[Incidentes]]+Tabela5[[#This Row],[Requests]]</f>
        <v>19</v>
      </c>
    </row>
    <row r="4" spans="1:6" x14ac:dyDescent="0.3">
      <c r="A4" s="11">
        <f t="shared" si="0"/>
        <v>44893</v>
      </c>
      <c r="B4" s="11">
        <f t="shared" ref="B4:B9" si="1">A4+4</f>
        <v>44897</v>
      </c>
      <c r="C4">
        <v>2</v>
      </c>
      <c r="D4">
        <v>1</v>
      </c>
      <c r="E4">
        <v>0</v>
      </c>
      <c r="F4">
        <f>Tabela5[[#This Row],[Incidentes]]+Tabela5[[#This Row],[Requests]]</f>
        <v>3</v>
      </c>
    </row>
    <row r="5" spans="1:6" x14ac:dyDescent="0.3">
      <c r="A5" s="11">
        <f t="shared" si="0"/>
        <v>44886</v>
      </c>
      <c r="B5" s="11">
        <f t="shared" si="1"/>
        <v>44890</v>
      </c>
      <c r="C5">
        <v>8</v>
      </c>
      <c r="D5">
        <v>7</v>
      </c>
      <c r="E5">
        <v>2</v>
      </c>
      <c r="F5">
        <f>Tabela5[[#This Row],[Incidentes]]+Tabela5[[#This Row],[Requests]]</f>
        <v>15</v>
      </c>
    </row>
    <row r="6" spans="1:6" x14ac:dyDescent="0.3">
      <c r="A6" s="11">
        <f t="shared" si="0"/>
        <v>44879</v>
      </c>
      <c r="B6" s="11">
        <f t="shared" si="1"/>
        <v>44883</v>
      </c>
      <c r="C6" s="12">
        <v>5</v>
      </c>
      <c r="D6">
        <v>17</v>
      </c>
      <c r="E6">
        <v>1</v>
      </c>
      <c r="F6">
        <f>Tabela5[[#This Row],[Incidentes]]+Tabela5[[#This Row],[Requests]]</f>
        <v>22</v>
      </c>
    </row>
    <row r="7" spans="1:6" x14ac:dyDescent="0.3">
      <c r="A7" s="11">
        <f t="shared" si="0"/>
        <v>44872</v>
      </c>
      <c r="B7" s="11">
        <f t="shared" si="1"/>
        <v>44876</v>
      </c>
      <c r="C7">
        <v>8</v>
      </c>
      <c r="D7">
        <v>9</v>
      </c>
      <c r="E7">
        <v>5</v>
      </c>
      <c r="F7">
        <f>Tabela5[[#This Row],[Incidentes]]+Tabela5[[#This Row],[Requests]]</f>
        <v>17</v>
      </c>
    </row>
    <row r="8" spans="1:6" x14ac:dyDescent="0.3">
      <c r="A8" s="11">
        <f t="shared" ref="A8:A13" si="2">A9+7</f>
        <v>44865</v>
      </c>
      <c r="B8" s="11">
        <f t="shared" si="1"/>
        <v>44869</v>
      </c>
      <c r="C8">
        <v>17</v>
      </c>
      <c r="D8">
        <v>14</v>
      </c>
      <c r="E8">
        <v>1</v>
      </c>
      <c r="F8">
        <f>Tabela5[[#This Row],[Incidentes]]+Tabela5[[#This Row],[Requests]]</f>
        <v>31</v>
      </c>
    </row>
    <row r="9" spans="1:6" x14ac:dyDescent="0.3">
      <c r="A9" s="11">
        <f t="shared" si="2"/>
        <v>44858</v>
      </c>
      <c r="B9" s="11">
        <f t="shared" si="1"/>
        <v>44862</v>
      </c>
      <c r="C9">
        <v>12</v>
      </c>
      <c r="D9">
        <v>9</v>
      </c>
      <c r="E9">
        <v>1</v>
      </c>
      <c r="F9">
        <f>Tabela5[[#This Row],[Incidentes]]+Tabela5[[#This Row],[Requests]]</f>
        <v>21</v>
      </c>
    </row>
    <row r="10" spans="1:6" x14ac:dyDescent="0.3">
      <c r="A10" s="11">
        <f t="shared" si="2"/>
        <v>44851</v>
      </c>
      <c r="B10" s="11">
        <f t="shared" ref="B10:B15" si="3">A10+4</f>
        <v>44855</v>
      </c>
      <c r="C10">
        <v>15</v>
      </c>
      <c r="D10">
        <v>22</v>
      </c>
      <c r="E10">
        <v>6</v>
      </c>
      <c r="F10">
        <f>Tabela5[[#This Row],[Incidentes]]+Tabela5[[#This Row],[Requests]]</f>
        <v>37</v>
      </c>
    </row>
    <row r="11" spans="1:6" x14ac:dyDescent="0.3">
      <c r="A11" s="11">
        <f t="shared" si="2"/>
        <v>44844</v>
      </c>
      <c r="B11" s="11">
        <f t="shared" si="3"/>
        <v>44848</v>
      </c>
      <c r="C11">
        <v>18</v>
      </c>
      <c r="D11">
        <v>13</v>
      </c>
      <c r="E11">
        <v>4</v>
      </c>
      <c r="F11">
        <f>Tabela5[[#This Row],[Incidentes]]+Tabela5[[#This Row],[Requests]]</f>
        <v>31</v>
      </c>
    </row>
    <row r="12" spans="1:6" x14ac:dyDescent="0.3">
      <c r="A12" s="11">
        <f t="shared" si="2"/>
        <v>44837</v>
      </c>
      <c r="B12" s="11">
        <f t="shared" si="3"/>
        <v>44841</v>
      </c>
      <c r="C12">
        <v>13</v>
      </c>
      <c r="D12">
        <v>12</v>
      </c>
      <c r="E12">
        <v>6</v>
      </c>
      <c r="F12">
        <f>Tabela5[[#This Row],[Incidentes]]+Tabela5[[#This Row],[Requests]]</f>
        <v>25</v>
      </c>
    </row>
    <row r="13" spans="1:6" x14ac:dyDescent="0.3">
      <c r="A13" s="11">
        <f t="shared" si="2"/>
        <v>44830</v>
      </c>
      <c r="B13" s="11">
        <f t="shared" si="3"/>
        <v>44834</v>
      </c>
      <c r="C13">
        <v>16</v>
      </c>
      <c r="D13">
        <v>14</v>
      </c>
      <c r="E13">
        <v>5</v>
      </c>
      <c r="F13">
        <f>Tabela5[[#This Row],[Incidentes]]+Tabela5[[#This Row],[Requests]]</f>
        <v>30</v>
      </c>
    </row>
    <row r="14" spans="1:6" x14ac:dyDescent="0.3">
      <c r="A14" s="11">
        <v>44823</v>
      </c>
      <c r="B14" s="11">
        <f t="shared" si="3"/>
        <v>44827</v>
      </c>
      <c r="C14">
        <v>12</v>
      </c>
      <c r="D14">
        <v>20</v>
      </c>
      <c r="E14">
        <v>0</v>
      </c>
      <c r="F14">
        <f>Tabela5[[#This Row],[Incidentes]]+Tabela5[[#This Row],[Requests]]</f>
        <v>32</v>
      </c>
    </row>
    <row r="15" spans="1:6" x14ac:dyDescent="0.3">
      <c r="A15" s="11">
        <v>44816</v>
      </c>
      <c r="B15" s="11">
        <f t="shared" si="3"/>
        <v>44820</v>
      </c>
      <c r="C15">
        <v>20</v>
      </c>
      <c r="D15">
        <v>12</v>
      </c>
      <c r="E15">
        <v>3</v>
      </c>
      <c r="F15">
        <f>Tabela5[[#This Row],[Incidentes]]+Tabela5[[#This Row],[Requests]]</f>
        <v>32</v>
      </c>
    </row>
    <row r="16" spans="1:6" x14ac:dyDescent="0.3">
      <c r="A16" s="11">
        <v>44809</v>
      </c>
      <c r="B16" s="11">
        <f t="shared" ref="B16" si="4">A16+4</f>
        <v>44813</v>
      </c>
      <c r="C16">
        <v>17</v>
      </c>
      <c r="D16">
        <v>8</v>
      </c>
      <c r="E16">
        <v>2</v>
      </c>
      <c r="F16">
        <f>Tabela5[[#This Row],[Incidentes]]+Tabela5[[#This Row],[Requests]]</f>
        <v>25</v>
      </c>
    </row>
  </sheetData>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634A0-CB43-4943-8257-DD119CD0A08A}">
  <sheetPr codeName="Planilha1"/>
  <dimension ref="A1:D27"/>
  <sheetViews>
    <sheetView topLeftCell="D7" workbookViewId="0">
      <selection activeCell="D27" sqref="D27"/>
    </sheetView>
  </sheetViews>
  <sheetFormatPr defaultRowHeight="14.4" x14ac:dyDescent="0.3"/>
  <cols>
    <col min="1" max="1" width="22" style="5" customWidth="1"/>
    <col min="2" max="2" width="30.44140625" style="5" bestFit="1" customWidth="1"/>
    <col min="3" max="3" width="29.33203125" style="5" bestFit="1" customWidth="1"/>
    <col min="4" max="4" width="129.44140625" style="5" customWidth="1"/>
    <col min="5" max="16384" width="8.88671875" style="5"/>
  </cols>
  <sheetData>
    <row r="1" spans="1:4" x14ac:dyDescent="0.3">
      <c r="A1" s="9" t="s">
        <v>3</v>
      </c>
      <c r="B1" s="9" t="s">
        <v>5</v>
      </c>
      <c r="C1" s="9" t="s">
        <v>7</v>
      </c>
      <c r="D1" s="5" t="s">
        <v>12</v>
      </c>
    </row>
    <row r="2" spans="1:4" x14ac:dyDescent="0.3">
      <c r="A2" s="5" t="s">
        <v>23</v>
      </c>
      <c r="B2" s="5" t="s">
        <v>24</v>
      </c>
      <c r="C2" s="5" t="s">
        <v>87</v>
      </c>
      <c r="D2" s="5" t="s">
        <v>660</v>
      </c>
    </row>
    <row r="3" spans="1:4" x14ac:dyDescent="0.3">
      <c r="A3" s="5" t="s">
        <v>110</v>
      </c>
      <c r="B3" s="5" t="s">
        <v>111</v>
      </c>
      <c r="C3" s="5" t="s">
        <v>219</v>
      </c>
      <c r="D3" s="5" t="s">
        <v>661</v>
      </c>
    </row>
    <row r="4" spans="1:4" x14ac:dyDescent="0.3">
      <c r="A4" s="5" t="s">
        <v>179</v>
      </c>
      <c r="B4" s="5" t="s">
        <v>180</v>
      </c>
      <c r="C4" s="5" t="s">
        <v>181</v>
      </c>
      <c r="D4" s="5" t="s">
        <v>662</v>
      </c>
    </row>
    <row r="5" spans="1:4" x14ac:dyDescent="0.3">
      <c r="A5" s="5" t="s">
        <v>44</v>
      </c>
      <c r="B5" s="5" t="s">
        <v>579</v>
      </c>
      <c r="C5" s="5" t="s">
        <v>581</v>
      </c>
      <c r="D5" s="5" t="s">
        <v>665</v>
      </c>
    </row>
    <row r="6" spans="1:4" x14ac:dyDescent="0.3">
      <c r="A6" s="5" t="s">
        <v>59</v>
      </c>
      <c r="B6" s="5" t="s">
        <v>60</v>
      </c>
      <c r="C6" s="5" t="s">
        <v>61</v>
      </c>
      <c r="D6" s="5" t="s">
        <v>671</v>
      </c>
    </row>
    <row r="7" spans="1:4" x14ac:dyDescent="0.3">
      <c r="A7" s="5" t="s">
        <v>59</v>
      </c>
      <c r="B7" s="5" t="s">
        <v>144</v>
      </c>
      <c r="C7" s="5" t="s">
        <v>170</v>
      </c>
      <c r="D7" s="5" t="s">
        <v>674</v>
      </c>
    </row>
    <row r="8" spans="1:4" x14ac:dyDescent="0.3">
      <c r="A8" s="5" t="s">
        <v>23</v>
      </c>
      <c r="B8" s="5" t="s">
        <v>24</v>
      </c>
      <c r="C8" s="5" t="s">
        <v>67</v>
      </c>
      <c r="D8" s="5" t="s">
        <v>677</v>
      </c>
    </row>
    <row r="9" spans="1:4" x14ac:dyDescent="0.3">
      <c r="A9" s="5" t="s">
        <v>44</v>
      </c>
      <c r="B9" s="5" t="s">
        <v>142</v>
      </c>
      <c r="C9" s="5" t="s">
        <v>624</v>
      </c>
      <c r="D9" s="5" t="s">
        <v>683</v>
      </c>
    </row>
    <row r="10" spans="1:4" x14ac:dyDescent="0.3">
      <c r="A10" s="5" t="s">
        <v>59</v>
      </c>
      <c r="B10" s="5" t="s">
        <v>144</v>
      </c>
      <c r="C10" s="5" t="s">
        <v>145</v>
      </c>
      <c r="D10" s="5" t="s">
        <v>684</v>
      </c>
    </row>
    <row r="11" spans="1:4" x14ac:dyDescent="0.3">
      <c r="A11" s="5" t="s">
        <v>80</v>
      </c>
      <c r="B11" s="5" t="s">
        <v>81</v>
      </c>
      <c r="C11" s="5" t="s">
        <v>82</v>
      </c>
      <c r="D11" s="5" t="s">
        <v>696</v>
      </c>
    </row>
    <row r="12" spans="1:4" x14ac:dyDescent="0.3">
      <c r="A12" s="5" t="s">
        <v>44</v>
      </c>
      <c r="B12" s="5" t="s">
        <v>73</v>
      </c>
      <c r="C12" s="5" t="s">
        <v>637</v>
      </c>
      <c r="D12" s="5" t="s">
        <v>700</v>
      </c>
    </row>
    <row r="13" spans="1:4" x14ac:dyDescent="0.3">
      <c r="A13" s="5" t="s">
        <v>23</v>
      </c>
      <c r="B13" s="5" t="s">
        <v>24</v>
      </c>
      <c r="C13" s="5" t="s">
        <v>25</v>
      </c>
      <c r="D13" s="5" t="s">
        <v>706</v>
      </c>
    </row>
    <row r="14" spans="1:4" x14ac:dyDescent="0.3">
      <c r="A14" s="5" t="s">
        <v>59</v>
      </c>
      <c r="B14" s="5" t="s">
        <v>60</v>
      </c>
      <c r="C14" s="5" t="s">
        <v>236</v>
      </c>
      <c r="D14" s="5" t="s">
        <v>729</v>
      </c>
    </row>
    <row r="15" spans="1:4" x14ac:dyDescent="0.3">
      <c r="A15" s="5" t="s">
        <v>59</v>
      </c>
      <c r="B15" s="5" t="s">
        <v>144</v>
      </c>
      <c r="C15" s="5" t="s">
        <v>231</v>
      </c>
      <c r="D15" s="5" t="s">
        <v>732</v>
      </c>
    </row>
    <row r="16" spans="1:4" x14ac:dyDescent="0.3">
      <c r="A16" s="5" t="s">
        <v>59</v>
      </c>
      <c r="B16" s="5" t="s">
        <v>144</v>
      </c>
      <c r="C16" s="5" t="s">
        <v>574</v>
      </c>
      <c r="D16" s="5" t="s">
        <v>735</v>
      </c>
    </row>
    <row r="17" spans="1:4" x14ac:dyDescent="0.3">
      <c r="A17" s="5" t="s">
        <v>80</v>
      </c>
      <c r="B17" s="5" t="s">
        <v>737</v>
      </c>
      <c r="C17" s="5" t="s">
        <v>738</v>
      </c>
      <c r="D17" s="5" t="s">
        <v>742</v>
      </c>
    </row>
    <row r="18" spans="1:4" x14ac:dyDescent="0.3">
      <c r="A18" s="5" t="s">
        <v>80</v>
      </c>
      <c r="B18" s="5" t="s">
        <v>93</v>
      </c>
      <c r="C18" s="5" t="s">
        <v>239</v>
      </c>
      <c r="D18" s="5" t="s">
        <v>752</v>
      </c>
    </row>
    <row r="19" spans="1:4" x14ac:dyDescent="0.3">
      <c r="A19" s="5" t="s">
        <v>15</v>
      </c>
      <c r="B19" s="5" t="s">
        <v>16</v>
      </c>
      <c r="C19" s="5" t="s">
        <v>55</v>
      </c>
      <c r="D19" s="5" t="s">
        <v>788</v>
      </c>
    </row>
    <row r="20" spans="1:4" x14ac:dyDescent="0.3">
      <c r="A20" s="5" t="s">
        <v>23</v>
      </c>
      <c r="B20" s="5" t="s">
        <v>24</v>
      </c>
      <c r="C20" s="5" t="s">
        <v>97</v>
      </c>
      <c r="D20" s="5" t="s">
        <v>831</v>
      </c>
    </row>
    <row r="21" spans="1:4" x14ac:dyDescent="0.3">
      <c r="A21" s="5" t="s">
        <v>15</v>
      </c>
      <c r="B21" s="5" t="s">
        <v>16</v>
      </c>
      <c r="C21" s="5" t="s">
        <v>102</v>
      </c>
      <c r="D21" s="5" t="s">
        <v>860</v>
      </c>
    </row>
    <row r="22" spans="1:4" x14ac:dyDescent="0.3">
      <c r="A22" s="5" t="s">
        <v>110</v>
      </c>
      <c r="B22" s="5" t="s">
        <v>111</v>
      </c>
      <c r="C22" s="5" t="s">
        <v>112</v>
      </c>
      <c r="D22" s="5" t="s">
        <v>870</v>
      </c>
    </row>
    <row r="23" spans="1:4" x14ac:dyDescent="0.3">
      <c r="A23" s="5" t="s">
        <v>23</v>
      </c>
      <c r="B23" s="5" t="s">
        <v>24</v>
      </c>
      <c r="C23" s="5" t="s">
        <v>175</v>
      </c>
      <c r="D23" s="5" t="s">
        <v>882</v>
      </c>
    </row>
    <row r="24" spans="1:4" x14ac:dyDescent="0.3">
      <c r="A24" s="5" t="s">
        <v>59</v>
      </c>
      <c r="B24" s="5" t="s">
        <v>202</v>
      </c>
      <c r="C24" s="5" t="s">
        <v>203</v>
      </c>
      <c r="D24" s="5" t="s">
        <v>889</v>
      </c>
    </row>
    <row r="25" spans="1:4" x14ac:dyDescent="0.3">
      <c r="A25" s="5" t="s">
        <v>59</v>
      </c>
      <c r="B25" s="5" t="s">
        <v>144</v>
      </c>
      <c r="C25" s="5" t="s">
        <v>940</v>
      </c>
      <c r="D25" s="5" t="s">
        <v>947</v>
      </c>
    </row>
    <row r="26" spans="1:4" x14ac:dyDescent="0.3">
      <c r="A26" s="5" t="s">
        <v>59</v>
      </c>
      <c r="B26" s="5" t="s">
        <v>144</v>
      </c>
      <c r="C26" s="5" t="s">
        <v>251</v>
      </c>
      <c r="D26" s="5" t="s">
        <v>947</v>
      </c>
    </row>
    <row r="27" spans="1:4" x14ac:dyDescent="0.3">
      <c r="A27" s="5" t="s">
        <v>59</v>
      </c>
      <c r="B27" s="5" t="s">
        <v>144</v>
      </c>
      <c r="C27" s="5" t="s">
        <v>976</v>
      </c>
      <c r="D27" s="5" t="s">
        <v>947</v>
      </c>
    </row>
  </sheetData>
  <conditionalFormatting sqref="D3">
    <cfRule type="colorScale" priority="1">
      <colorScale>
        <cfvo type="min"/>
        <cfvo type="percentile" val="50"/>
        <cfvo type="max"/>
        <color rgb="FF63BE7B"/>
        <color rgb="FFFFEB84"/>
        <color rgb="FFF8696B"/>
      </colorScale>
    </cfRule>
  </conditionalFormatting>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6198B-B2FB-42CD-B08D-41D82A4504CD}">
  <sheetPr codeName="Planilha9"/>
  <dimension ref="A1:C81"/>
  <sheetViews>
    <sheetView workbookViewId="0">
      <pane ySplit="1" topLeftCell="A32" activePane="bottomLeft" state="frozen"/>
      <selection pane="bottomLeft" activeCell="B60" sqref="B60"/>
    </sheetView>
  </sheetViews>
  <sheetFormatPr defaultRowHeight="14.4" x14ac:dyDescent="0.3"/>
  <cols>
    <col min="1" max="1" width="19" customWidth="1"/>
    <col min="2" max="2" width="43.88671875" customWidth="1"/>
    <col min="3" max="3" width="35.6640625" bestFit="1" customWidth="1"/>
  </cols>
  <sheetData>
    <row r="1" spans="1:3" x14ac:dyDescent="0.3">
      <c r="A1" t="s">
        <v>13</v>
      </c>
      <c r="B1" t="s">
        <v>485</v>
      </c>
      <c r="C1" t="s">
        <v>486</v>
      </c>
    </row>
    <row r="2" spans="1:3" x14ac:dyDescent="0.3">
      <c r="A2" t="s">
        <v>3</v>
      </c>
      <c r="B2" t="s">
        <v>15</v>
      </c>
      <c r="C2" t="s">
        <v>487</v>
      </c>
    </row>
    <row r="3" spans="1:3" x14ac:dyDescent="0.3">
      <c r="A3" t="s">
        <v>5</v>
      </c>
      <c r="B3" t="s">
        <v>16</v>
      </c>
      <c r="C3" t="s">
        <v>488</v>
      </c>
    </row>
    <row r="4" spans="1:3" x14ac:dyDescent="0.3">
      <c r="A4" t="s">
        <v>7</v>
      </c>
      <c r="B4" t="s">
        <v>17</v>
      </c>
      <c r="C4" t="s">
        <v>489</v>
      </c>
    </row>
    <row r="5" spans="1:3" x14ac:dyDescent="0.3">
      <c r="A5" t="s">
        <v>3</v>
      </c>
      <c r="B5" t="s">
        <v>23</v>
      </c>
      <c r="C5" t="s">
        <v>490</v>
      </c>
    </row>
    <row r="6" spans="1:3" x14ac:dyDescent="0.3">
      <c r="A6" t="s">
        <v>5</v>
      </c>
      <c r="B6" t="s">
        <v>24</v>
      </c>
      <c r="C6" t="s">
        <v>491</v>
      </c>
    </row>
    <row r="7" spans="1:3" x14ac:dyDescent="0.3">
      <c r="A7" t="s">
        <v>7</v>
      </c>
      <c r="B7" t="s">
        <v>25</v>
      </c>
      <c r="C7" t="s">
        <v>492</v>
      </c>
    </row>
    <row r="8" spans="1:3" x14ac:dyDescent="0.3">
      <c r="A8" t="s">
        <v>7</v>
      </c>
      <c r="B8" t="s">
        <v>32</v>
      </c>
      <c r="C8" t="s">
        <v>493</v>
      </c>
    </row>
    <row r="9" spans="1:3" x14ac:dyDescent="0.3">
      <c r="A9" t="s">
        <v>5</v>
      </c>
      <c r="B9" t="s">
        <v>31</v>
      </c>
      <c r="C9" t="s">
        <v>494</v>
      </c>
    </row>
    <row r="10" spans="1:3" x14ac:dyDescent="0.3">
      <c r="A10" t="s">
        <v>3</v>
      </c>
      <c r="B10" t="s">
        <v>37</v>
      </c>
      <c r="C10" t="s">
        <v>495</v>
      </c>
    </row>
    <row r="11" spans="1:3" x14ac:dyDescent="0.3">
      <c r="A11" t="s">
        <v>5</v>
      </c>
      <c r="B11" t="s">
        <v>38</v>
      </c>
      <c r="C11" t="s">
        <v>496</v>
      </c>
    </row>
    <row r="12" spans="1:3" x14ac:dyDescent="0.3">
      <c r="A12" t="s">
        <v>7</v>
      </c>
      <c r="B12" t="s">
        <v>39</v>
      </c>
      <c r="C12" s="2" t="s">
        <v>497</v>
      </c>
    </row>
    <row r="13" spans="1:3" x14ac:dyDescent="0.3">
      <c r="A13" t="s">
        <v>3</v>
      </c>
      <c r="B13" t="s">
        <v>44</v>
      </c>
      <c r="C13" t="s">
        <v>498</v>
      </c>
    </row>
    <row r="14" spans="1:3" x14ac:dyDescent="0.3">
      <c r="A14" t="s">
        <v>5</v>
      </c>
      <c r="B14" t="s">
        <v>45</v>
      </c>
      <c r="C14" t="s">
        <v>499</v>
      </c>
    </row>
    <row r="15" spans="1:3" x14ac:dyDescent="0.3">
      <c r="A15" t="s">
        <v>7</v>
      </c>
      <c r="B15" t="s">
        <v>46</v>
      </c>
      <c r="C15" t="s">
        <v>500</v>
      </c>
    </row>
    <row r="16" spans="1:3" x14ac:dyDescent="0.3">
      <c r="A16" t="s">
        <v>7</v>
      </c>
      <c r="B16" t="s">
        <v>51</v>
      </c>
      <c r="C16" t="s">
        <v>501</v>
      </c>
    </row>
    <row r="17" spans="1:3" x14ac:dyDescent="0.3">
      <c r="A17" t="s">
        <v>7</v>
      </c>
      <c r="B17" t="s">
        <v>55</v>
      </c>
      <c r="C17" t="s">
        <v>502</v>
      </c>
    </row>
    <row r="18" spans="1:3" x14ac:dyDescent="0.3">
      <c r="A18" t="s">
        <v>3</v>
      </c>
      <c r="B18" t="s">
        <v>59</v>
      </c>
      <c r="C18" t="s">
        <v>503</v>
      </c>
    </row>
    <row r="19" spans="1:3" x14ac:dyDescent="0.3">
      <c r="A19" t="s">
        <v>5</v>
      </c>
      <c r="B19" t="s">
        <v>60</v>
      </c>
      <c r="C19" t="s">
        <v>504</v>
      </c>
    </row>
    <row r="20" spans="1:3" x14ac:dyDescent="0.3">
      <c r="A20" t="s">
        <v>7</v>
      </c>
      <c r="B20" t="s">
        <v>61</v>
      </c>
      <c r="C20" t="s">
        <v>505</v>
      </c>
    </row>
    <row r="21" spans="1:3" x14ac:dyDescent="0.3">
      <c r="A21" t="s">
        <v>7</v>
      </c>
      <c r="B21" t="s">
        <v>64</v>
      </c>
      <c r="C21" t="s">
        <v>506</v>
      </c>
    </row>
    <row r="22" spans="1:3" x14ac:dyDescent="0.3">
      <c r="A22" t="s">
        <v>7</v>
      </c>
      <c r="B22" t="s">
        <v>67</v>
      </c>
      <c r="C22" t="s">
        <v>507</v>
      </c>
    </row>
    <row r="23" spans="1:3" x14ac:dyDescent="0.3">
      <c r="A23" t="s">
        <v>3</v>
      </c>
      <c r="B23" t="s">
        <v>44</v>
      </c>
      <c r="C23" t="s">
        <v>498</v>
      </c>
    </row>
    <row r="24" spans="1:3" x14ac:dyDescent="0.3">
      <c r="A24" t="s">
        <v>5</v>
      </c>
      <c r="B24" t="s">
        <v>73</v>
      </c>
      <c r="C24" t="s">
        <v>508</v>
      </c>
    </row>
    <row r="25" spans="1:3" x14ac:dyDescent="0.3">
      <c r="A25" t="s">
        <v>7</v>
      </c>
      <c r="B25" t="s">
        <v>637</v>
      </c>
      <c r="C25" t="s">
        <v>638</v>
      </c>
    </row>
    <row r="26" spans="1:3" x14ac:dyDescent="0.3">
      <c r="A26" t="s">
        <v>3</v>
      </c>
      <c r="B26" t="s">
        <v>80</v>
      </c>
      <c r="C26" t="s">
        <v>509</v>
      </c>
    </row>
    <row r="27" spans="1:3" x14ac:dyDescent="0.3">
      <c r="A27" t="s">
        <v>5</v>
      </c>
      <c r="B27" t="s">
        <v>81</v>
      </c>
      <c r="C27" t="s">
        <v>510</v>
      </c>
    </row>
    <row r="28" spans="1:3" x14ac:dyDescent="0.3">
      <c r="A28" t="s">
        <v>7</v>
      </c>
      <c r="B28" t="s">
        <v>82</v>
      </c>
      <c r="C28" t="s">
        <v>511</v>
      </c>
    </row>
    <row r="29" spans="1:3" x14ac:dyDescent="0.3">
      <c r="A29" t="s">
        <v>7</v>
      </c>
      <c r="B29" t="s">
        <v>87</v>
      </c>
      <c r="C29" t="s">
        <v>512</v>
      </c>
    </row>
    <row r="30" spans="1:3" x14ac:dyDescent="0.3">
      <c r="A30" t="s">
        <v>7</v>
      </c>
      <c r="B30" t="s">
        <v>97</v>
      </c>
      <c r="C30" t="s">
        <v>513</v>
      </c>
    </row>
    <row r="31" spans="1:3" x14ac:dyDescent="0.3">
      <c r="A31" t="s">
        <v>5</v>
      </c>
      <c r="B31" t="s">
        <v>93</v>
      </c>
      <c r="C31" t="s">
        <v>514</v>
      </c>
    </row>
    <row r="32" spans="1:3" x14ac:dyDescent="0.3">
      <c r="A32" t="s">
        <v>7</v>
      </c>
      <c r="B32" t="s">
        <v>94</v>
      </c>
      <c r="C32" t="s">
        <v>515</v>
      </c>
    </row>
    <row r="33" spans="1:3" x14ac:dyDescent="0.3">
      <c r="A33" t="s">
        <v>7</v>
      </c>
      <c r="B33" t="s">
        <v>102</v>
      </c>
      <c r="C33" t="s">
        <v>516</v>
      </c>
    </row>
    <row r="34" spans="1:3" x14ac:dyDescent="0.3">
      <c r="A34" t="s">
        <v>3</v>
      </c>
      <c r="B34" t="s">
        <v>110</v>
      </c>
      <c r="C34" t="s">
        <v>517</v>
      </c>
    </row>
    <row r="35" spans="1:3" x14ac:dyDescent="0.3">
      <c r="A35" t="s">
        <v>5</v>
      </c>
      <c r="B35" t="s">
        <v>111</v>
      </c>
      <c r="C35" t="s">
        <v>518</v>
      </c>
    </row>
    <row r="36" spans="1:3" x14ac:dyDescent="0.3">
      <c r="A36" t="s">
        <v>7</v>
      </c>
      <c r="B36" t="s">
        <v>112</v>
      </c>
      <c r="C36" t="s">
        <v>519</v>
      </c>
    </row>
    <row r="37" spans="1:3" x14ac:dyDescent="0.3">
      <c r="A37" t="s">
        <v>5</v>
      </c>
      <c r="B37" t="s">
        <v>142</v>
      </c>
      <c r="C37" t="s">
        <v>520</v>
      </c>
    </row>
    <row r="38" spans="1:3" x14ac:dyDescent="0.3">
      <c r="A38" t="s">
        <v>7</v>
      </c>
      <c r="B38" t="s">
        <v>624</v>
      </c>
      <c r="C38" t="s">
        <v>623</v>
      </c>
    </row>
    <row r="39" spans="1:3" x14ac:dyDescent="0.3">
      <c r="A39" t="s">
        <v>5</v>
      </c>
      <c r="B39" t="s">
        <v>144</v>
      </c>
      <c r="C39" t="s">
        <v>521</v>
      </c>
    </row>
    <row r="40" spans="1:3" x14ac:dyDescent="0.3">
      <c r="A40" t="s">
        <v>7</v>
      </c>
      <c r="B40" t="s">
        <v>145</v>
      </c>
      <c r="C40" t="s">
        <v>522</v>
      </c>
    </row>
    <row r="41" spans="1:3" x14ac:dyDescent="0.3">
      <c r="A41" t="s">
        <v>3</v>
      </c>
      <c r="B41" t="s">
        <v>147</v>
      </c>
      <c r="C41" t="s">
        <v>523</v>
      </c>
    </row>
    <row r="42" spans="1:3" x14ac:dyDescent="0.3">
      <c r="A42" t="s">
        <v>5</v>
      </c>
      <c r="B42" t="s">
        <v>148</v>
      </c>
      <c r="C42" s="2" t="s">
        <v>524</v>
      </c>
    </row>
    <row r="43" spans="1:3" x14ac:dyDescent="0.3">
      <c r="A43" t="s">
        <v>7</v>
      </c>
      <c r="B43" t="s">
        <v>149</v>
      </c>
      <c r="C43" t="s">
        <v>525</v>
      </c>
    </row>
    <row r="44" spans="1:3" x14ac:dyDescent="0.3">
      <c r="A44" t="s">
        <v>7</v>
      </c>
      <c r="B44" t="s">
        <v>624</v>
      </c>
      <c r="C44" t="s">
        <v>623</v>
      </c>
    </row>
    <row r="45" spans="1:3" x14ac:dyDescent="0.3">
      <c r="A45" t="s">
        <v>7</v>
      </c>
      <c r="B45" t="s">
        <v>158</v>
      </c>
      <c r="C45" t="s">
        <v>526</v>
      </c>
    </row>
    <row r="46" spans="1:3" x14ac:dyDescent="0.3">
      <c r="A46" t="s">
        <v>7</v>
      </c>
      <c r="B46" t="s">
        <v>170</v>
      </c>
      <c r="C46" t="s">
        <v>527</v>
      </c>
    </row>
    <row r="47" spans="1:3" x14ac:dyDescent="0.3">
      <c r="A47" t="s">
        <v>7</v>
      </c>
      <c r="B47" t="s">
        <v>175</v>
      </c>
      <c r="C47" t="s">
        <v>528</v>
      </c>
    </row>
    <row r="48" spans="1:3" x14ac:dyDescent="0.3">
      <c r="A48" t="s">
        <v>3</v>
      </c>
      <c r="B48" t="s">
        <v>179</v>
      </c>
      <c r="C48" t="s">
        <v>529</v>
      </c>
    </row>
    <row r="49" spans="1:3" x14ac:dyDescent="0.3">
      <c r="A49" t="s">
        <v>5</v>
      </c>
      <c r="B49" t="s">
        <v>180</v>
      </c>
      <c r="C49" t="s">
        <v>530</v>
      </c>
    </row>
    <row r="50" spans="1:3" x14ac:dyDescent="0.3">
      <c r="A50" t="s">
        <v>7</v>
      </c>
      <c r="B50" t="s">
        <v>181</v>
      </c>
      <c r="C50" t="s">
        <v>531</v>
      </c>
    </row>
    <row r="51" spans="1:3" x14ac:dyDescent="0.3">
      <c r="A51" t="s">
        <v>7</v>
      </c>
      <c r="B51" t="s">
        <v>194</v>
      </c>
      <c r="C51" t="s">
        <v>532</v>
      </c>
    </row>
    <row r="52" spans="1:3" x14ac:dyDescent="0.3">
      <c r="A52" t="s">
        <v>5</v>
      </c>
      <c r="B52" t="s">
        <v>202</v>
      </c>
      <c r="C52" t="s">
        <v>533</v>
      </c>
    </row>
    <row r="53" spans="1:3" x14ac:dyDescent="0.3">
      <c r="A53" t="s">
        <v>7</v>
      </c>
      <c r="B53" t="s">
        <v>203</v>
      </c>
      <c r="C53" t="s">
        <v>534</v>
      </c>
    </row>
    <row r="54" spans="1:3" x14ac:dyDescent="0.3">
      <c r="A54" t="s">
        <v>7</v>
      </c>
      <c r="B54" t="s">
        <v>210</v>
      </c>
      <c r="C54" t="s">
        <v>535</v>
      </c>
    </row>
    <row r="55" spans="1:3" x14ac:dyDescent="0.3">
      <c r="A55" t="s">
        <v>7</v>
      </c>
      <c r="B55" t="s">
        <v>219</v>
      </c>
      <c r="C55" t="s">
        <v>536</v>
      </c>
    </row>
    <row r="56" spans="1:3" x14ac:dyDescent="0.3">
      <c r="A56" t="s">
        <v>7</v>
      </c>
      <c r="B56" t="s">
        <v>225</v>
      </c>
      <c r="C56" t="s">
        <v>537</v>
      </c>
    </row>
    <row r="57" spans="1:3" x14ac:dyDescent="0.3">
      <c r="A57" t="s">
        <v>7</v>
      </c>
      <c r="B57" t="s">
        <v>231</v>
      </c>
      <c r="C57" t="s">
        <v>538</v>
      </c>
    </row>
    <row r="58" spans="1:3" x14ac:dyDescent="0.3">
      <c r="A58" t="s">
        <v>7</v>
      </c>
      <c r="B58" t="s">
        <v>236</v>
      </c>
      <c r="C58" t="s">
        <v>539</v>
      </c>
    </row>
    <row r="59" spans="1:3" x14ac:dyDescent="0.3">
      <c r="A59" t="s">
        <v>7</v>
      </c>
      <c r="B59" t="s">
        <v>82</v>
      </c>
      <c r="C59" t="s">
        <v>540</v>
      </c>
    </row>
    <row r="60" spans="1:3" x14ac:dyDescent="0.3">
      <c r="A60" t="s">
        <v>7</v>
      </c>
      <c r="B60" t="s">
        <v>251</v>
      </c>
      <c r="C60" t="s">
        <v>541</v>
      </c>
    </row>
    <row r="61" spans="1:3" x14ac:dyDescent="0.3">
      <c r="A61" t="s">
        <v>5</v>
      </c>
      <c r="B61" t="s">
        <v>253</v>
      </c>
      <c r="C61" t="s">
        <v>542</v>
      </c>
    </row>
    <row r="62" spans="1:3" x14ac:dyDescent="0.3">
      <c r="A62" t="s">
        <v>7</v>
      </c>
      <c r="B62" t="s">
        <v>261</v>
      </c>
      <c r="C62" t="s">
        <v>543</v>
      </c>
    </row>
    <row r="63" spans="1:3" x14ac:dyDescent="0.3">
      <c r="A63" t="s">
        <v>7</v>
      </c>
      <c r="B63" t="s">
        <v>574</v>
      </c>
      <c r="C63" t="s">
        <v>573</v>
      </c>
    </row>
    <row r="64" spans="1:3" x14ac:dyDescent="0.3">
      <c r="A64" t="s">
        <v>5</v>
      </c>
      <c r="B64" t="s">
        <v>579</v>
      </c>
      <c r="C64" t="s">
        <v>578</v>
      </c>
    </row>
    <row r="65" spans="1:3" x14ac:dyDescent="0.3">
      <c r="A65" t="s">
        <v>7</v>
      </c>
      <c r="B65" t="s">
        <v>581</v>
      </c>
      <c r="C65" t="s">
        <v>580</v>
      </c>
    </row>
    <row r="66" spans="1:3" x14ac:dyDescent="0.3">
      <c r="A66" t="s">
        <v>7</v>
      </c>
      <c r="B66" t="s">
        <v>610</v>
      </c>
      <c r="C66" t="s">
        <v>609</v>
      </c>
    </row>
    <row r="67" spans="1:3" x14ac:dyDescent="0.3">
      <c r="A67" t="s">
        <v>5</v>
      </c>
      <c r="B67" t="s">
        <v>627</v>
      </c>
      <c r="C67" t="s">
        <v>629</v>
      </c>
    </row>
    <row r="68" spans="1:3" x14ac:dyDescent="0.3">
      <c r="A68" t="s">
        <v>7</v>
      </c>
      <c r="B68" t="s">
        <v>628</v>
      </c>
      <c r="C68" t="s">
        <v>634</v>
      </c>
    </row>
    <row r="69" spans="1:3" x14ac:dyDescent="0.3">
      <c r="A69" t="s">
        <v>7</v>
      </c>
      <c r="B69" t="s">
        <v>641</v>
      </c>
      <c r="C69" t="s">
        <v>640</v>
      </c>
    </row>
    <row r="70" spans="1:3" x14ac:dyDescent="0.3">
      <c r="A70" t="s">
        <v>5</v>
      </c>
      <c r="B70" t="s">
        <v>689</v>
      </c>
      <c r="C70" t="s">
        <v>691</v>
      </c>
    </row>
    <row r="71" spans="1:3" x14ac:dyDescent="0.3">
      <c r="A71" t="s">
        <v>7</v>
      </c>
      <c r="B71" t="s">
        <v>690</v>
      </c>
      <c r="C71" t="s">
        <v>692</v>
      </c>
    </row>
    <row r="72" spans="1:3" x14ac:dyDescent="0.3">
      <c r="A72" t="s">
        <v>7</v>
      </c>
      <c r="B72" t="s">
        <v>254</v>
      </c>
      <c r="C72" t="s">
        <v>709</v>
      </c>
    </row>
    <row r="73" spans="1:3" x14ac:dyDescent="0.3">
      <c r="A73" t="s">
        <v>5</v>
      </c>
      <c r="B73" t="s">
        <v>737</v>
      </c>
      <c r="C73" t="s">
        <v>739</v>
      </c>
    </row>
    <row r="74" spans="1:3" x14ac:dyDescent="0.3">
      <c r="A74" t="s">
        <v>7</v>
      </c>
      <c r="B74" t="s">
        <v>738</v>
      </c>
      <c r="C74" t="s">
        <v>740</v>
      </c>
    </row>
    <row r="75" spans="1:3" x14ac:dyDescent="0.3">
      <c r="A75" t="s">
        <v>7</v>
      </c>
      <c r="B75" t="s">
        <v>835</v>
      </c>
      <c r="C75" t="s">
        <v>836</v>
      </c>
    </row>
    <row r="76" spans="1:3" x14ac:dyDescent="0.3">
      <c r="A76" t="s">
        <v>5</v>
      </c>
      <c r="B76" t="s">
        <v>932</v>
      </c>
      <c r="C76" t="s">
        <v>934</v>
      </c>
    </row>
    <row r="77" spans="1:3" x14ac:dyDescent="0.3">
      <c r="A77" t="s">
        <v>7</v>
      </c>
      <c r="B77" t="s">
        <v>933</v>
      </c>
      <c r="C77" t="s">
        <v>935</v>
      </c>
    </row>
    <row r="78" spans="1:3" x14ac:dyDescent="0.3">
      <c r="A78" t="s">
        <v>7</v>
      </c>
      <c r="B78" t="s">
        <v>940</v>
      </c>
      <c r="C78" t="s">
        <v>939</v>
      </c>
    </row>
    <row r="79" spans="1:3" x14ac:dyDescent="0.3">
      <c r="A79" t="s">
        <v>5</v>
      </c>
      <c r="B79" t="s">
        <v>956</v>
      </c>
      <c r="C79" t="s">
        <v>953</v>
      </c>
    </row>
    <row r="80" spans="1:3" x14ac:dyDescent="0.3">
      <c r="A80" t="s">
        <v>7</v>
      </c>
      <c r="B80" t="s">
        <v>955</v>
      </c>
      <c r="C80" t="s">
        <v>954</v>
      </c>
    </row>
    <row r="81" spans="1:3" x14ac:dyDescent="0.3">
      <c r="A81" t="s">
        <v>7</v>
      </c>
      <c r="B81" t="s">
        <v>976</v>
      </c>
      <c r="C81" t="s">
        <v>977</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054E3-16A5-4A7F-AE3D-DD834F30CA4F}">
  <sheetPr codeName="Planilha3"/>
  <dimension ref="A1"/>
  <sheetViews>
    <sheetView workbookViewId="0">
      <selection activeCell="D17" sqref="D17"/>
    </sheetView>
  </sheetViews>
  <sheetFormatPr defaultRowHeight="14.4" x14ac:dyDescent="0.3"/>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3C23DD3A725847A15515F81B282E17" ma:contentTypeVersion="13" ma:contentTypeDescription="Create a new document." ma:contentTypeScope="" ma:versionID="2d7d824a6235126ab48d401c4a6dc238">
  <xsd:schema xmlns:xsd="http://www.w3.org/2001/XMLSchema" xmlns:xs="http://www.w3.org/2001/XMLSchema" xmlns:p="http://schemas.microsoft.com/office/2006/metadata/properties" xmlns:ns3="1823c5a2-3c44-401b-b98b-07de1c6c5ba8" xmlns:ns4="27769818-a4da-4eef-a15c-061411ed292f" targetNamespace="http://schemas.microsoft.com/office/2006/metadata/properties" ma:root="true" ma:fieldsID="ef3919f4107e1be9453620c1a28f9ed3" ns3:_="" ns4:_="">
    <xsd:import namespace="1823c5a2-3c44-401b-b98b-07de1c6c5ba8"/>
    <xsd:import namespace="27769818-a4da-4eef-a15c-061411ed292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23c5a2-3c44-401b-b98b-07de1c6c5b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769818-a4da-4eef-a15c-061411ed292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918C4CE-323D-4494-810B-F71E65B7DD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23c5a2-3c44-401b-b98b-07de1c6c5ba8"/>
    <ds:schemaRef ds:uri="27769818-a4da-4eef-a15c-061411ed29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44F758-C519-4BD5-A81E-B7BFDAE091E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C01F91E-0AAA-43B9-A4CA-889260F1A6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Abertura</vt:lpstr>
      <vt:lpstr>Fechamento</vt:lpstr>
      <vt:lpstr>Produtividade</vt:lpstr>
      <vt:lpstr>Data Points padrão</vt:lpstr>
      <vt:lpstr>Codigos Categorias</vt:lpstr>
      <vt:lpstr>Pausa de tickets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z0026jjc</dc:creator>
  <cp:keywords/>
  <dc:description/>
  <cp:lastModifiedBy>Borges, Claudio Ferreira (EXT) (RC-BR IT UIT)</cp:lastModifiedBy>
  <cp:revision/>
  <cp:lastPrinted>2022-08-18T15:21:51Z</cp:lastPrinted>
  <dcterms:created xsi:type="dcterms:W3CDTF">2020-10-02T19:55:38Z</dcterms:created>
  <dcterms:modified xsi:type="dcterms:W3CDTF">2022-12-15T18:26:06Z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0x0101009C3C23DD3A725847A15515F81B282E17</vt:lpwstr>
  </property>
  <property fmtid="{D5CDD505-2E9C-101B-9397-08002B2CF9AE}" pid="3" name="CofWorkbookId">
    <vt:lpwstr>0a0a0988-66e8-4b7f-b378-15f5caec9d55</vt:lpwstr>
  </property>
  <property fmtid="{D5CDD505-2E9C-101B-9397-08002B2CF9AE}" pid="4" name="MSIP_Label_a59b6cd5-d141-4a33-8bf1-0ca04484304f_Enabled">
    <vt:lpwstr>true</vt:lpwstr>
  </property>
  <property fmtid="{D5CDD505-2E9C-101B-9397-08002B2CF9AE}" pid="5" name="MSIP_Label_a59b6cd5-d141-4a33-8bf1-0ca04484304f_SetDate">
    <vt:lpwstr>2021-07-05T18:08:13Z</vt:lpwstr>
  </property>
  <property fmtid="{D5CDD505-2E9C-101B-9397-08002B2CF9AE}" pid="6" name="MSIP_Label_a59b6cd5-d141-4a33-8bf1-0ca04484304f_Method">
    <vt:lpwstr>Standard</vt:lpwstr>
  </property>
  <property fmtid="{D5CDD505-2E9C-101B-9397-08002B2CF9AE}" pid="7" name="MSIP_Label_a59b6cd5-d141-4a33-8bf1-0ca04484304f_Name">
    <vt:lpwstr>restricted-default</vt:lpwstr>
  </property>
  <property fmtid="{D5CDD505-2E9C-101B-9397-08002B2CF9AE}" pid="8" name="MSIP_Label_a59b6cd5-d141-4a33-8bf1-0ca04484304f_SiteId">
    <vt:lpwstr>38ae3bcd-9579-4fd4-adda-b42e1495d55a</vt:lpwstr>
  </property>
  <property fmtid="{D5CDD505-2E9C-101B-9397-08002B2CF9AE}" pid="9" name="MSIP_Label_a59b6cd5-d141-4a33-8bf1-0ca04484304f_ActionId">
    <vt:lpwstr>f2de0d03-bef6-464a-b07a-4820d200ff14</vt:lpwstr>
  </property>
  <property fmtid="{D5CDD505-2E9C-101B-9397-08002B2CF9AE}" pid="10" name="MSIP_Label_a59b6cd5-d141-4a33-8bf1-0ca04484304f_ContentBits">
    <vt:lpwstr>0</vt:lpwstr>
  </property>
  <property fmtid="{D5CDD505-2E9C-101B-9397-08002B2CF9AE}" pid="11" name="Document_Confidentiality">
    <vt:lpwstr>Restricted</vt:lpwstr>
  </property>
</Properties>
</file>